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0" xWindow="0" yWindow="0" windowWidth="20490" windowHeight="7460" tabRatio="636" firstSheet="0" activeTab="9" autoFilterDateGrouping="1"/>
  </bookViews>
  <sheets>
    <sheet name="INICIO" sheetId="1" state="visible" r:id="rId1"/>
    <sheet name="Resultados" sheetId="2" state="visible" r:id="rId2"/>
    <sheet name="Graficos" sheetId="3" state="visible" r:id="rId3"/>
    <sheet name="ID lotes" sheetId="4" state="visible" r:id="rId4"/>
    <sheet name="Ingresos por ventas de cafe" sheetId="5" state="visible" r:id="rId5"/>
    <sheet name="Instalacion de Cafe" sheetId="6" state="visible" r:id="rId6"/>
    <sheet name="Control de arvenses" sheetId="7" state="visible" r:id="rId7"/>
    <sheet name="Fertilizacion" sheetId="8" state="visible" r:id="rId8"/>
    <sheet name="Control Fitosanitario" sheetId="9" state="visible" r:id="rId9"/>
    <sheet name="Regulacion de sombrio" sheetId="10" state="visible" r:id="rId10"/>
    <sheet name="Otras Labores" sheetId="11" state="visible" r:id="rId11"/>
    <sheet name="Recoleccion" sheetId="12" state="visible" r:id="rId12"/>
    <sheet name="Beneficio" sheetId="13" state="visible" r:id="rId13"/>
    <sheet name="Gastos Administrativos" sheetId="14" state="visible" r:id="rId14"/>
    <sheet name="Plan de ordenamiento" sheetId="15" state="visible" r:id="rId15"/>
    <sheet name="Plan de acción" sheetId="16" state="visible" r:id="rId16"/>
    <sheet name="Cronograma" sheetId="17" state="visible" r:id="rId17"/>
    <sheet name="Presupuesto" sheetId="18" state="visible" r:id="rId18"/>
  </sheets>
  <definedNames>
    <definedName name="MisHojas">REPLACE(MIEMBRO.A.M.R(1),1,FIND("]",MIEMBRO.A.M.R(1)),"")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[$$-240A]\ #,##0"/>
  </numFmts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8" tint="-0.499984740745262"/>
      <sz val="13"/>
      <u val="single"/>
      <scheme val="minor"/>
    </font>
    <font>
      <name val="Calibri"/>
      <family val="2"/>
      <color theme="8" tint="-0.499984740745262"/>
      <sz val="16"/>
      <u val="single"/>
      <scheme val="minor"/>
    </font>
    <font>
      <name val="Calibri"/>
      <family val="2"/>
      <color theme="8" tint="-0.499984740745262"/>
      <sz val="18"/>
      <u val="single"/>
      <scheme val="minor"/>
    </font>
    <font>
      <name val="Calibri"/>
      <family val="2"/>
      <b val="1"/>
      <color theme="8" tint="-0.499984740745262"/>
      <sz val="18"/>
      <u val="single"/>
      <scheme val="minor"/>
    </font>
    <font>
      <name val="Calibri"/>
      <family val="2"/>
      <color theme="8" tint="-0.499984740745262"/>
      <sz val="22"/>
      <u val="single"/>
      <scheme val="minor"/>
    </font>
    <font>
      <name val="Calibri"/>
      <family val="2"/>
      <b val="1"/>
      <color theme="8" tint="-0.499984740745262"/>
      <sz val="16"/>
      <u val="single"/>
      <scheme val="minor"/>
    </font>
    <font>
      <name val="Calibri"/>
      <family val="2"/>
      <b val="1"/>
      <color theme="8" tint="-0.499984740745262"/>
      <sz val="20"/>
      <u val="single"/>
      <scheme val="minor"/>
    </font>
    <font>
      <name val="Calibri"/>
      <family val="2"/>
      <color theme="8" tint="-0.499984740745262"/>
      <sz val="26"/>
      <u val="single"/>
      <scheme val="minor"/>
    </font>
  </fonts>
  <fills count="7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/>
  </cellStyleXfs>
  <cellXfs count="6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2" fillId="2" borderId="0" applyAlignment="1" pivotButton="0" quotePrefix="0" xfId="0">
      <alignment horizontal="center" wrapText="1"/>
    </xf>
    <xf numFmtId="0" fontId="2" fillId="0" borderId="1" pivotButton="0" quotePrefix="0" xfId="0"/>
    <xf numFmtId="0" fontId="2" fillId="0" borderId="0" pivotButton="0" quotePrefix="0" xfId="0"/>
    <xf numFmtId="0" fontId="1" fillId="3" borderId="0" applyAlignment="1" pivotButton="0" quotePrefix="0" xfId="0">
      <alignment horizontal="center"/>
    </xf>
    <xf numFmtId="0" fontId="1" fillId="3" borderId="0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/>
    </xf>
    <xf numFmtId="0" fontId="1" fillId="3" borderId="0" pivotButton="0" quotePrefix="0" xfId="0"/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1" pivotButton="0" quotePrefix="0" xfId="0"/>
    <xf numFmtId="0" fontId="0" fillId="0" borderId="0" pivotButton="0" quotePrefix="0" xfId="0"/>
    <xf numFmtId="9" fontId="0" fillId="0" borderId="0" pivotButton="0" quotePrefix="0" xfId="0"/>
    <xf numFmtId="164" fontId="0" fillId="0" borderId="1" applyAlignment="1" pivotButton="0" quotePrefix="0" xfId="0">
      <alignment horizontal="right"/>
    </xf>
    <xf numFmtId="0" fontId="4" fillId="0" borderId="0" pivotButton="0" quotePrefix="0" xfId="0"/>
    <xf numFmtId="164" fontId="2" fillId="0" borderId="1" pivotButton="0" quotePrefix="0" xfId="0"/>
    <xf numFmtId="164" fontId="1" fillId="3" borderId="0" applyAlignment="1" pivotButton="0" quotePrefix="0" xfId="0">
      <alignment horizontal="center"/>
    </xf>
    <xf numFmtId="164" fontId="1" fillId="3" borderId="0" applyAlignment="1" pivotButton="0" quotePrefix="0" xfId="0">
      <alignment horizontal="right"/>
    </xf>
    <xf numFmtId="14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  <xf numFmtId="14" fontId="2" fillId="0" borderId="1" pivotButton="0" quotePrefix="0" xfId="0"/>
    <xf numFmtId="0" fontId="2" fillId="0" borderId="1" applyAlignment="1" pivotButton="0" quotePrefix="0" xfId="0">
      <alignment horizontal="center"/>
    </xf>
    <xf numFmtId="164" fontId="1" fillId="3" borderId="1" applyAlignment="1" pivotButton="0" quotePrefix="0" xfId="0">
      <alignment horizontal="center"/>
    </xf>
    <xf numFmtId="164" fontId="1" fillId="3" borderId="1" applyAlignment="1" pivotButton="0" quotePrefix="0" xfId="0">
      <alignment horizontal="right"/>
    </xf>
    <xf numFmtId="164" fontId="0" fillId="0" borderId="1" pivotButton="0" quotePrefix="0" xfId="0"/>
    <xf numFmtId="0" fontId="2" fillId="0" borderId="7" pivotButton="0" quotePrefix="0" xfId="0"/>
    <xf numFmtId="164" fontId="0" fillId="0" borderId="0" pivotButton="0" quotePrefix="0" xfId="0"/>
    <xf numFmtId="1" fontId="2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6" borderId="0" applyAlignment="1" pivotButton="0" quotePrefix="0" xfId="1">
      <alignment horizontal="center" vertical="center"/>
    </xf>
    <xf numFmtId="0" fontId="6" fillId="5" borderId="1" applyAlignment="1" pivotButton="0" quotePrefix="0" xfId="1">
      <alignment horizontal="center"/>
    </xf>
    <xf numFmtId="14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9" fontId="0" fillId="0" borderId="1" applyAlignment="1" pivotButton="0" quotePrefix="0" xfId="0">
      <alignment horizontal="center" vertical="center"/>
    </xf>
    <xf numFmtId="0" fontId="11" fillId="5" borderId="0" applyAlignment="1" pivotButton="0" quotePrefix="0" xfId="1">
      <alignment horizontal="center"/>
    </xf>
    <xf numFmtId="0" fontId="11" fillId="5" borderId="1" applyAlignment="1" pivotButton="0" quotePrefix="0" xfId="1">
      <alignment horizontal="center"/>
    </xf>
    <xf numFmtId="0" fontId="10" fillId="6" borderId="0" applyAlignment="1" pivotButton="0" quotePrefix="0" xfId="1">
      <alignment horizontal="center" vertical="center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3" fillId="0" borderId="6" applyAlignment="1" pivotButton="0" quotePrefix="0" xfId="0">
      <alignment horizontal="left"/>
    </xf>
    <xf numFmtId="0" fontId="9" fillId="6" borderId="0" applyAlignment="1" pivotButton="0" quotePrefix="0" xfId="1">
      <alignment horizontal="center" vertical="center"/>
    </xf>
    <xf numFmtId="0" fontId="13" fillId="6" borderId="0" applyAlignment="1" pivotButton="0" quotePrefix="0" xfId="1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1" fillId="6" borderId="7" applyAlignment="1" pivotButton="0" quotePrefix="0" xfId="1">
      <alignment horizontal="center" vertical="center"/>
    </xf>
    <xf numFmtId="0" fontId="5" fillId="6" borderId="7" applyAlignment="1" pivotButton="0" quotePrefix="0" xfId="1">
      <alignment horizontal="center" vertical="center"/>
    </xf>
    <xf numFmtId="0" fontId="7" fillId="6" borderId="7" applyAlignment="1" pivotButton="0" quotePrefix="0" xfId="1">
      <alignment horizontal="center" vertical="center"/>
    </xf>
    <xf numFmtId="0" fontId="8" fillId="6" borderId="7" applyAlignment="1" pivotButton="0" quotePrefix="0" xfId="1">
      <alignment horizontal="center" vertical="center"/>
    </xf>
    <xf numFmtId="0" fontId="12" fillId="6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</cellXfs>
  <cellStyles count="2">
    <cellStyle name="Normal" xfId="0" builtinId="0"/>
    <cellStyle name="Hipervínculo" xfId="1" builtinId="8"/>
  </cellStyles>
  <dxfs count="3">
    <dxf>
      <numFmt numFmtId="0" formatCode="General"/>
    </dxf>
    <dxf>
      <numFmt numFmtId="0" formatCode="General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Costos</a:t>
            </a:r>
            <a:r>
              <a:rPr lang="es-CO" baseline="0"/>
              <a:t xml:space="preserve"> de Producción</a:t>
            </a:r>
            <a:endParaRPr lang="es-CO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800" b="1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O"/>
        </a:p>
      </txPr>
    </title>
    <plotArea>
      <layout/>
      <pie3DChart>
        <varyColors val="1"/>
        <ser>
          <idx val="0"/>
          <order val="0"/>
          <spPr>
            <a:ln>
              <a:prstDash val="solid"/>
            </a:ln>
          </spPr>
          <dLbls>
            <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s-CO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Graficos!$A$1:$A$8</f>
              <strCache>
                <ptCount val="8"/>
                <pt idx="0">
                  <v>Instalacion</v>
                </pt>
                <pt idx="1">
                  <v>Control de Arvenses</v>
                </pt>
                <pt idx="2">
                  <v>Fertilización</v>
                </pt>
                <pt idx="3">
                  <v>Control Fitosanitario</v>
                </pt>
                <pt idx="4">
                  <v>Regulación de Sombríos</v>
                </pt>
                <pt idx="5">
                  <v>Recolección</v>
                </pt>
                <pt idx="6">
                  <v>Beneficio</v>
                </pt>
                <pt idx="7">
                  <v>Administración</v>
                </pt>
              </strCache>
            </strRef>
          </cat>
          <val>
            <numRef>
              <f>Graficos!$B$1:$B$8</f>
            </numRef>
          </val>
        </ser>
        <ser>
          <idx val="1"/>
          <order val="1"/>
          <spPr>
            <a:ln>
              <a:prstDash val="solid"/>
            </a:ln>
          </spPr>
          <dPt>
            <idx val="0"/>
            <bubble3D val="0"/>
            <spPr>
              <a:solidFill>
                <a:schemeClr val="accent1"/>
              </a:solidFill>
              <a:ln>
                <a:noFill/>
                <a:prstDash val="solid"/>
              </a:ln>
              <a:sp3d/>
            </spPr>
          </dPt>
          <dPt>
            <idx val="1"/>
            <bubble3D val="0"/>
            <spPr>
              <a:solidFill>
                <a:schemeClr val="accent2"/>
              </a:solidFill>
              <a:ln>
                <a:noFill/>
                <a:prstDash val="solid"/>
              </a:ln>
              <a:sp3d/>
            </spPr>
          </dPt>
          <dPt>
            <idx val="2"/>
            <bubble3D val="0"/>
            <spPr>
              <a:solidFill>
                <a:schemeClr val="accent3"/>
              </a:solidFill>
              <a:ln>
                <a:noFill/>
                <a:prstDash val="solid"/>
              </a:ln>
              <a:sp3d/>
            </spPr>
          </dPt>
          <dPt>
            <idx val="3"/>
            <bubble3D val="0"/>
            <spPr>
              <a:solidFill>
                <a:schemeClr val="accent4"/>
              </a:solidFill>
              <a:ln>
                <a:noFill/>
                <a:prstDash val="solid"/>
              </a:ln>
              <a:sp3d/>
            </spPr>
          </dPt>
          <dPt>
            <idx val="4"/>
            <bubble3D val="0"/>
            <spPr>
              <a:solidFill>
                <a:schemeClr val="accent5"/>
              </a:solidFill>
              <a:ln>
                <a:noFill/>
                <a:prstDash val="solid"/>
              </a:ln>
              <a:sp3d/>
            </spPr>
          </dPt>
          <dPt>
            <idx val="5"/>
            <bubble3D val="0"/>
            <spPr>
              <a:solidFill>
                <a:schemeClr val="accent6"/>
              </a:solidFill>
              <a:ln>
                <a:noFill/>
                <a:prstDash val="solid"/>
              </a:ln>
              <a:sp3d/>
            </spPr>
          </dPt>
          <dPt>
            <idx val="6"/>
            <bubble3D val="0"/>
            <spPr>
              <a:solidFill>
                <a:schemeClr val="accent1">
                  <a:lumMod val="60000"/>
                </a:schemeClr>
              </a:solidFill>
              <a:ln>
                <a:noFill/>
                <a:prstDash val="solid"/>
              </a:ln>
              <a:sp3d/>
            </spPr>
          </dPt>
          <dPt>
            <idx val="7"/>
            <bubble3D val="0"/>
            <spPr>
              <a:solidFill>
                <a:schemeClr val="accent2">
                  <a:lumMod val="60000"/>
                </a:schemeClr>
              </a:solidFill>
              <a:ln>
                <a:noFill/>
                <a:prstDash val="solid"/>
              </a:ln>
              <a:sp3d/>
            </spPr>
          </dPt>
          <dLbls>
            <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  <a:prstDash val="solid"/>
              </a:ln>
            </spPr>
            <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s-CO"/>
              </a:p>
            </txPr>
            <dLblPos val="ctr"/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Graficos!$A$1:$A$8</f>
              <strCache>
                <ptCount val="8"/>
                <pt idx="0">
                  <v>Instalacion</v>
                </pt>
                <pt idx="1">
                  <v>Control de Arvenses</v>
                </pt>
                <pt idx="2">
                  <v>Fertilización</v>
                </pt>
                <pt idx="3">
                  <v>Control Fitosanitario</v>
                </pt>
                <pt idx="4">
                  <v>Regulación de Sombríos</v>
                </pt>
                <pt idx="5">
                  <v>Recolección</v>
                </pt>
                <pt idx="6">
                  <v>Beneficio</v>
                </pt>
                <pt idx="7">
                  <v>Administración</v>
                </pt>
              </strCache>
            </strRef>
          </cat>
          <val>
            <numRef>
              <f>Graficos!$C$1:$C$8</f>
              <numCache>
                <formatCode>0%</formatCode>
                <ptCount val="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</numCache>
            </numRef>
          </val>
        </ser>
        <dLbls>
          <dLblPos val="ctr"/>
          <showLegendKey val="0"/>
          <showVal val="0"/>
          <showCatName val="0"/>
          <showSerName val="0"/>
          <showPercent val="1"/>
          <showBubbleSize val="0"/>
          <showLeaderLines val="1"/>
        </dLbls>
      </pie3DChart>
    </plotArea>
    <legend>
      <legendPos val="r"/>
      <layout>
        <manualLayout>
          <xMode val="edge"/>
          <yMode val="edge"/>
          <wMode val="factor"/>
          <hMode val="factor"/>
          <x val="0.7538806710487848"/>
          <y val="0.1932900262467191"/>
          <w val="0.2361068133066596"/>
          <h val="0.5833364829396325"/>
        </manualLayout>
      </layout>
      <overlay val="0"/>
      <spPr>
        <a:solidFill>
          <a:schemeClr val="lt1">
            <a:alpha val="39000"/>
            <a:lumMod val="95000"/>
          </a:schemeClr>
        </a:solidFill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O"/>
        </a:p>
      </txPr>
    </legend>
    <plotVisOnly val="1"/>
    <dispBlanksAs val="gap"/>
  </chart>
  <spPr>
    <a:gradFill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28575</colOff>
      <row>0</row>
      <rowOff>28575</rowOff>
    </from>
    <to>
      <col>16</col>
      <colOff>19050</colOff>
      <row>20</row>
      <rowOff>180975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a4" displayName="Tabla4" ref="A1:F17" headerRowCount="1" totalsRowCount="1" headerRowDxfId="2">
  <autoFilter ref="A1:F16"/>
  <tableColumns count="6">
    <tableColumn id="1" name="ID LOTE" totalsRowLabel="AREA TOTAL"/>
    <tableColumn id="2" name="AREA" totalsRowFunction="sum"/>
    <tableColumn id="3" name="# ARBOLES" totalsRowFunction="sum"/>
    <tableColumn id="4" name="VARIEDAD"/>
    <tableColumn id="5" name="FECHA DE LABOR"/>
    <tableColumn id="6" name="EDAD (MESES)" totalsRowFunction="average" dataDxfId="1" totalsRowDxfId="0">
      <calculatedColumnFormula>IF(E2="", 0, DATEDIF(VALUE(E2), TODAY(), "M"))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Costos%20de%20produccion%20-%202026.xlsx" TargetMode="External" Id="rId1" /><Relationship Type="http://schemas.openxmlformats.org/officeDocument/2006/relationships/hyperlink" Target="Costos%20de%20produccion%20-%202026.xlsx" TargetMode="External" Id="rId2" /><Relationship Type="http://schemas.openxmlformats.org/officeDocument/2006/relationships/hyperlink" Target="Costos%20de%20produccion%20-%202026.xlsx" TargetMode="External" Id="rId3" /><Relationship Type="http://schemas.openxmlformats.org/officeDocument/2006/relationships/hyperlink" Target="Costos%20de%20produccion%20-%202026.xlsx" TargetMode="External" Id="rId4" /><Relationship Type="http://schemas.openxmlformats.org/officeDocument/2006/relationships/hyperlink" Target="Costos%20de%20produccion%20-%202026.xlsx" TargetMode="External" Id="rId5" /><Relationship Type="http://schemas.openxmlformats.org/officeDocument/2006/relationships/hyperlink" Target="Costos%20de%20produccion%20-%202026.xlsx" TargetMode="External" Id="rId6" /><Relationship Type="http://schemas.openxmlformats.org/officeDocument/2006/relationships/hyperlink" Target="Costos%20de%20produccion%20-%202026.xlsx" TargetMode="External" Id="rId7" /><Relationship Type="http://schemas.openxmlformats.org/officeDocument/2006/relationships/hyperlink" Target="Costos%20de%20produccion%20-%202026.xlsx" TargetMode="External" Id="rId8" /><Relationship Type="http://schemas.openxmlformats.org/officeDocument/2006/relationships/hyperlink" Target="Costos%20de%20produccion%20-%202026.xlsx" TargetMode="External" Id="rId9" /><Relationship Type="http://schemas.openxmlformats.org/officeDocument/2006/relationships/hyperlink" Target="Costos%20de%20produccion%20-%202026.xlsx" TargetMode="External" Id="rId10" /><Relationship Type="http://schemas.openxmlformats.org/officeDocument/2006/relationships/hyperlink" Target="Costos%20de%20produccion%20-%202026.xlsx" TargetMode="External" Id="rId11" /><Relationship Type="http://schemas.openxmlformats.org/officeDocument/2006/relationships/hyperlink" Target="Costos%20de%20produccion%20-%202026.xlsx" TargetMode="External" Id="rId12" /><Relationship Type="http://schemas.openxmlformats.org/officeDocument/2006/relationships/hyperlink" Target="Costos%20de%20produccion%20-%202026.xlsx" TargetMode="External" Id="rId13" /><Relationship Type="http://schemas.openxmlformats.org/officeDocument/2006/relationships/hyperlink" Target="Costos%20de%20produccion%20-%202026.xlsx" TargetMode="External" Id="rId14" /><Relationship Type="http://schemas.openxmlformats.org/officeDocument/2006/relationships/hyperlink" Target="Costos%20de%20produccion%20-%202026.xlsx" TargetMode="External" Id="rId15" /><Relationship Type="http://schemas.openxmlformats.org/officeDocument/2006/relationships/hyperlink" Target="Costos%20de%20produccion%20-%202026.xlsx" TargetMode="External" Id="rId16" /><Relationship Type="http://schemas.openxmlformats.org/officeDocument/2006/relationships/hyperlink" Target="Costos%20de%20produccion%20-%202026.xlsx" TargetMode="External" Id="rId17" /><Relationship Type="http://schemas.openxmlformats.org/officeDocument/2006/relationships/hyperlink" Target="Costos%20de%20produccion%20-%202026.xlsx" TargetMode="External" Id="rId18" /></Relationships>
</file>

<file path=xl/worksheets/_rels/sheet2.xml.rels><Relationships xmlns="http://schemas.openxmlformats.org/package/2006/relationships"><Relationship Type="http://schemas.openxmlformats.org/officeDocument/2006/relationships/hyperlink" Target="Costos%20de%20produccion%20-%202026.xlsx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Costos%20de%20produccion%20-%202026.xlsx" TargetMode="External" Id="rId1" /><Relationship Type="http://schemas.openxmlformats.org/officeDocument/2006/relationships/drawing" Target="/xl/drawings/drawing1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Costos%20de%20produccion%20-%202026.xlsx" TargetMode="External" Id="rId1" /><Relationship Type="http://schemas.openxmlformats.org/officeDocument/2006/relationships/table" Target="/xl/tables/table1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Costos%20de%20produccion%20-%202026.xlsx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Costos%20de%20produccion%20-%202026.xlsx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Costos%20de%20produccion%20-%202026.xlsx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Costos%20de%20produccion%20-%202026.xlsx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Costos%20de%20produccion%20-%202026.xlsx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Costos%20de%20produccion%20-%202026.xlsx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Costos%20de%20produccion%20-%202026.xlsx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Costos%20de%20produccion%20-%202026.xlsx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Costos%20de%20produccion%20-%202026.xlsx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Costos%20de%20produccion%20-%202026.xlsx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Costos%20de%20produccion%20-%202026.xlsx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Costos%20de%20produccion%20-%202026.xlsx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Costos%20de%20produccion%20-%202026.xlsx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0" sqref="A10"/>
    </sheetView>
  </sheetViews>
  <sheetFormatPr baseColWidth="10" defaultRowHeight="14.5"/>
  <cols>
    <col width="39.453125" customWidth="1" style="40" min="1" max="1"/>
  </cols>
  <sheetData>
    <row r="1" ht="21" customHeight="1" s="40">
      <c r="A1" s="42" t="inlineStr">
        <is>
          <t>INICIO</t>
        </is>
      </c>
    </row>
    <row r="2" ht="21" customHeight="1" s="40">
      <c r="A2" s="43" t="inlineStr">
        <is>
          <t>Resultados</t>
        </is>
      </c>
    </row>
    <row r="3" ht="21" customHeight="1" s="40">
      <c r="A3" s="43" t="inlineStr">
        <is>
          <t>Graficos</t>
        </is>
      </c>
    </row>
    <row r="4" ht="21" customHeight="1" s="40">
      <c r="A4" s="43" t="inlineStr">
        <is>
          <t>ID lotes</t>
        </is>
      </c>
    </row>
    <row r="5" ht="21" customHeight="1" s="40">
      <c r="A5" s="43" t="inlineStr">
        <is>
          <t>Ingresos por ventas de café</t>
        </is>
      </c>
    </row>
    <row r="6" ht="21" customHeight="1" s="40">
      <c r="A6" s="43" t="inlineStr">
        <is>
          <t>instalacion de café</t>
        </is>
      </c>
    </row>
    <row r="7" ht="21" customHeight="1" s="40">
      <c r="A7" s="43" t="inlineStr">
        <is>
          <t>Control de arvenses</t>
        </is>
      </c>
    </row>
    <row r="8" ht="21" customHeight="1" s="40">
      <c r="A8" s="43" t="inlineStr">
        <is>
          <t>Fertilizacion</t>
        </is>
      </c>
    </row>
    <row r="9" ht="21" customHeight="1" s="40">
      <c r="A9" s="43" t="inlineStr">
        <is>
          <t>Control Fitosanitario</t>
        </is>
      </c>
    </row>
    <row r="10" ht="21" customHeight="1" s="40">
      <c r="A10" s="43" t="inlineStr">
        <is>
          <t>Regulacion de sombrio</t>
        </is>
      </c>
    </row>
    <row r="11" ht="21" customHeight="1" s="40">
      <c r="A11" s="43" t="inlineStr">
        <is>
          <t>Otras labores</t>
        </is>
      </c>
    </row>
    <row r="12" ht="21" customHeight="1" s="40">
      <c r="A12" s="43" t="inlineStr">
        <is>
          <t>Recoleccion</t>
        </is>
      </c>
    </row>
    <row r="13" ht="21" customHeight="1" s="40">
      <c r="A13" s="43" t="inlineStr">
        <is>
          <t>Beneficio</t>
        </is>
      </c>
    </row>
    <row r="14" ht="21" customHeight="1" s="40">
      <c r="A14" s="43" t="inlineStr">
        <is>
          <t>Gastos Administrativos</t>
        </is>
      </c>
    </row>
    <row r="15" hidden="1" ht="17" customHeight="1" s="40">
      <c r="A15" s="37" t="inlineStr">
        <is>
          <t>Plan de ordenamiento</t>
        </is>
      </c>
    </row>
    <row r="16" hidden="1" ht="17" customHeight="1" s="40">
      <c r="A16" s="37" t="inlineStr">
        <is>
          <t>Plan de acción</t>
        </is>
      </c>
    </row>
    <row r="17" hidden="1" ht="17" customHeight="1" s="40">
      <c r="A17" s="37" t="inlineStr">
        <is>
          <t>Cronograma</t>
        </is>
      </c>
    </row>
    <row r="18" hidden="1" ht="17" customHeight="1" s="40">
      <c r="A18" s="37" t="inlineStr">
        <is>
          <t>Presupuesto</t>
        </is>
      </c>
    </row>
  </sheetData>
  <hyperlinks>
    <hyperlink xmlns:r="http://schemas.openxmlformats.org/officeDocument/2006/relationships" ref="A1" location="INICIO!A1" r:id="rId1"/>
    <hyperlink xmlns:r="http://schemas.openxmlformats.org/officeDocument/2006/relationships" ref="A2" location="Resultados!A1" r:id="rId2"/>
    <hyperlink xmlns:r="http://schemas.openxmlformats.org/officeDocument/2006/relationships" ref="A3" location="Graficos!A1" r:id="rId3"/>
    <hyperlink xmlns:r="http://schemas.openxmlformats.org/officeDocument/2006/relationships" ref="A4" location="'ID lotes'!A1" r:id="rId4"/>
    <hyperlink xmlns:r="http://schemas.openxmlformats.org/officeDocument/2006/relationships" ref="A5" location="'Ingresos por ventas de cafe'!A1" r:id="rId5"/>
    <hyperlink xmlns:r="http://schemas.openxmlformats.org/officeDocument/2006/relationships" ref="A6" location="'Instalacion de Cafe'!A1" r:id="rId6"/>
    <hyperlink xmlns:r="http://schemas.openxmlformats.org/officeDocument/2006/relationships" ref="A7" location="'Control de arvenses'!A1" r:id="rId7"/>
    <hyperlink xmlns:r="http://schemas.openxmlformats.org/officeDocument/2006/relationships" ref="A8" location="Fertilizacion!A1" r:id="rId8"/>
    <hyperlink xmlns:r="http://schemas.openxmlformats.org/officeDocument/2006/relationships" ref="A9" location="'Control Fitosanitario'!A1" r:id="rId9"/>
    <hyperlink xmlns:r="http://schemas.openxmlformats.org/officeDocument/2006/relationships" ref="A10" location="'Regulacion de sombrio'!A1" r:id="rId10"/>
    <hyperlink xmlns:r="http://schemas.openxmlformats.org/officeDocument/2006/relationships" ref="A11" location="'Otras Labores'!A1" r:id="rId11"/>
    <hyperlink xmlns:r="http://schemas.openxmlformats.org/officeDocument/2006/relationships" ref="A12" location="Recoleccion!A1" r:id="rId12"/>
    <hyperlink xmlns:r="http://schemas.openxmlformats.org/officeDocument/2006/relationships" ref="A13" location="Beneficio!A1" r:id="rId13"/>
    <hyperlink xmlns:r="http://schemas.openxmlformats.org/officeDocument/2006/relationships" ref="A14" location="'Gastos Administrativos'!A1" r:id="rId14"/>
    <hyperlink xmlns:r="http://schemas.openxmlformats.org/officeDocument/2006/relationships" ref="A15" location="'Plan de ordenamiento'!A1" r:id="rId15"/>
    <hyperlink xmlns:r="http://schemas.openxmlformats.org/officeDocument/2006/relationships" ref="A16" location="'Plan de acción'!A1" r:id="rId16"/>
    <hyperlink xmlns:r="http://schemas.openxmlformats.org/officeDocument/2006/relationships" ref="A17" location="Cronograma!A1" r:id="rId17"/>
    <hyperlink xmlns:r="http://schemas.openxmlformats.org/officeDocument/2006/relationships" ref="A18" location="Presupuesto!A1" r:id="rId1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G1" sqref="G1:H2"/>
    </sheetView>
  </sheetViews>
  <sheetFormatPr baseColWidth="10" defaultRowHeight="14.5"/>
  <cols>
    <col width="18.54296875" customWidth="1" style="40" min="1" max="1"/>
    <col width="12.7265625" customWidth="1" style="40" min="2" max="2"/>
    <col width="6" customWidth="1" style="40" min="3" max="3"/>
    <col width="13.1796875" customWidth="1" style="40" min="4" max="4"/>
    <col width="20" customWidth="1" style="40" min="5" max="5"/>
    <col width="6" customWidth="1" style="40" min="6" max="6"/>
    <col width="12.453125" customWidth="1" style="40" min="7" max="7"/>
    <col width="13.81640625" bestFit="1" customWidth="1" style="40" min="8" max="8"/>
  </cols>
  <sheetData>
    <row r="1">
      <c r="A1" s="49" t="inlineStr">
        <is>
          <t>RESULTADOS ECONOMICOS DE PRODUCCION DE CAFÉ</t>
        </is>
      </c>
      <c r="G1" s="44" t="inlineStr">
        <is>
          <t>INICIO</t>
        </is>
      </c>
    </row>
    <row r="2">
      <c r="A2" s="50" t="inlineStr">
        <is>
          <t xml:space="preserve">Ingresos   </t>
        </is>
      </c>
      <c r="B2" s="62" t="n"/>
      <c r="C2" s="49" t="n"/>
      <c r="D2" s="49" t="n"/>
      <c r="E2" s="49" t="n"/>
    </row>
    <row r="3">
      <c r="A3" s="12" t="inlineStr">
        <is>
          <t>INGRESOS POR VENTAS DE CAFÉ</t>
        </is>
      </c>
      <c r="B3" s="12" t="n"/>
      <c r="D3" s="48">
        <f>IFERROR(('Ingresos por ventas de cafe'!D20/'ID lotes'!B17)/12.5, 0)</f>
        <v/>
      </c>
      <c r="E3" s="48" t="inlineStr">
        <is>
          <t>Productividad (@/HA)</t>
        </is>
      </c>
    </row>
    <row r="4">
      <c r="A4" s="12" t="inlineStr">
        <is>
          <t>VENTAS ($) DE CPS</t>
        </is>
      </c>
      <c r="B4" s="30">
        <f>+'Ingresos por ventas de cafe'!F20</f>
        <v/>
      </c>
      <c r="D4" s="48">
        <f>IFERROR(Recoleccion!C20/'Ingresos por ventas de cafe'!D20, 0)</f>
        <v/>
      </c>
      <c r="E4" s="48" t="inlineStr">
        <is>
          <t xml:space="preserve"> Factor de Conversión</t>
        </is>
      </c>
    </row>
    <row r="5">
      <c r="A5" s="51" t="inlineStr">
        <is>
          <t>Egresos</t>
        </is>
      </c>
      <c r="B5" s="63" t="n"/>
    </row>
    <row r="6">
      <c r="A6" s="13" t="inlineStr">
        <is>
          <t>ITEM</t>
        </is>
      </c>
      <c r="B6" s="13" t="inlineStr">
        <is>
          <t>Total</t>
        </is>
      </c>
      <c r="D6" s="13" t="inlineStr">
        <is>
          <t>ITEM</t>
        </is>
      </c>
      <c r="E6" s="13" t="inlineStr">
        <is>
          <t>Total</t>
        </is>
      </c>
      <c r="G6" s="13" t="inlineStr">
        <is>
          <t>ITEM</t>
        </is>
      </c>
      <c r="H6" s="13" t="inlineStr">
        <is>
          <t>Total</t>
        </is>
      </c>
    </row>
    <row r="7">
      <c r="A7" s="48" t="inlineStr">
        <is>
          <t>Instalación</t>
        </is>
      </c>
      <c r="B7" s="64" t="n"/>
      <c r="D7" s="48" t="inlineStr">
        <is>
          <t>Control Fitosanitario</t>
        </is>
      </c>
      <c r="E7" s="64" t="n"/>
      <c r="G7" s="48" t="inlineStr">
        <is>
          <t>Beneficio</t>
        </is>
      </c>
      <c r="H7" s="64" t="n"/>
    </row>
    <row r="8">
      <c r="A8" s="12" t="inlineStr">
        <is>
          <t>MO</t>
        </is>
      </c>
      <c r="B8" s="12">
        <f>+'Instalacion de Cafe'!F20</f>
        <v/>
      </c>
      <c r="D8" s="12" t="inlineStr">
        <is>
          <t>MO</t>
        </is>
      </c>
      <c r="E8" s="12">
        <f>+'Control Fitosanitario'!F20</f>
        <v/>
      </c>
      <c r="G8" s="12" t="inlineStr">
        <is>
          <t>MO</t>
        </is>
      </c>
      <c r="H8" s="12">
        <f>+Beneficio!E20</f>
        <v/>
      </c>
    </row>
    <row r="9">
      <c r="A9" s="12" t="inlineStr">
        <is>
          <t>Insumos</t>
        </is>
      </c>
      <c r="B9" s="12">
        <f>+'Instalacion de Cafe'!L20</f>
        <v/>
      </c>
      <c r="D9" s="12" t="inlineStr">
        <is>
          <t>Insumos</t>
        </is>
      </c>
      <c r="E9" s="12">
        <f>+'Control Fitosanitario'!M20</f>
        <v/>
      </c>
      <c r="G9" s="12" t="inlineStr">
        <is>
          <t>Sub-total</t>
        </is>
      </c>
      <c r="H9" s="12">
        <f>+H8</f>
        <v/>
      </c>
    </row>
    <row r="10">
      <c r="A10" s="12" t="inlineStr">
        <is>
          <t>Sub-total</t>
        </is>
      </c>
      <c r="B10" s="12">
        <f>+B8+B9</f>
        <v/>
      </c>
      <c r="D10" s="12" t="inlineStr">
        <is>
          <t>Sub-total</t>
        </is>
      </c>
      <c r="E10" s="12">
        <f>+E8+E9</f>
        <v/>
      </c>
    </row>
    <row r="12">
      <c r="A12" s="48" t="inlineStr">
        <is>
          <t>Control de Arvenses</t>
        </is>
      </c>
      <c r="B12" s="64" t="n"/>
      <c r="D12" s="48" t="inlineStr">
        <is>
          <t>Regulación de Sombríos</t>
        </is>
      </c>
      <c r="E12" s="64" t="n"/>
      <c r="G12" s="48" t="inlineStr">
        <is>
          <t>Administración</t>
        </is>
      </c>
      <c r="H12" s="64" t="n"/>
    </row>
    <row r="13">
      <c r="A13" s="12" t="inlineStr">
        <is>
          <t>MO</t>
        </is>
      </c>
      <c r="B13" s="12">
        <f>+'Control de arvenses'!F20</f>
        <v/>
      </c>
      <c r="D13" s="12" t="inlineStr">
        <is>
          <t>MO</t>
        </is>
      </c>
      <c r="E13" s="12">
        <f>+'Regulacion de sombrio'!F20</f>
        <v/>
      </c>
      <c r="G13" s="12" t="inlineStr">
        <is>
          <t>$/AÑO</t>
        </is>
      </c>
      <c r="H13" s="12">
        <f>+'Gastos Administrativos'!C20</f>
        <v/>
      </c>
    </row>
    <row r="14">
      <c r="A14" s="12" t="inlineStr">
        <is>
          <t>Insumos</t>
        </is>
      </c>
      <c r="B14" s="12">
        <f>+'Control de arvenses'!M20</f>
        <v/>
      </c>
      <c r="D14" s="12" t="inlineStr">
        <is>
          <t>Insumos</t>
        </is>
      </c>
      <c r="E14" s="12">
        <f>+'Regulacion de sombrio'!L20</f>
        <v/>
      </c>
      <c r="G14" s="12" t="inlineStr">
        <is>
          <t>Sub-total</t>
        </is>
      </c>
      <c r="H14" s="12">
        <f>+H13</f>
        <v/>
      </c>
    </row>
    <row r="15">
      <c r="A15" s="12" t="inlineStr">
        <is>
          <t>Sub-total</t>
        </is>
      </c>
      <c r="B15" s="12">
        <f>+B13+B14</f>
        <v/>
      </c>
      <c r="D15" s="12" t="inlineStr">
        <is>
          <t>Sub-total</t>
        </is>
      </c>
      <c r="E15" s="12">
        <f>+E13+E14</f>
        <v/>
      </c>
    </row>
    <row r="16">
      <c r="G16" s="12" t="inlineStr">
        <is>
          <t>Total Egresos</t>
        </is>
      </c>
      <c r="H16" s="30">
        <f>+B10+B15+B20+E10+E15+E20+H9+H14</f>
        <v/>
      </c>
    </row>
    <row r="17">
      <c r="A17" s="48" t="inlineStr">
        <is>
          <t>Fertilización</t>
        </is>
      </c>
      <c r="B17" s="64" t="n"/>
      <c r="D17" s="48" t="inlineStr">
        <is>
          <t>Recolección</t>
        </is>
      </c>
      <c r="E17" s="64" t="n"/>
    </row>
    <row r="18">
      <c r="A18" s="12" t="inlineStr">
        <is>
          <t>MO</t>
        </is>
      </c>
      <c r="B18" s="12">
        <f>+Fertilizacion!F20</f>
        <v/>
      </c>
      <c r="D18" s="12" t="inlineStr">
        <is>
          <t>kilos</t>
        </is>
      </c>
      <c r="E18" s="12">
        <f>+Recoleccion!C20</f>
        <v/>
      </c>
      <c r="G18" s="12" t="inlineStr">
        <is>
          <t>Margen</t>
        </is>
      </c>
      <c r="H18" s="30">
        <f>+B4-H16</f>
        <v/>
      </c>
    </row>
    <row r="19">
      <c r="A19" s="12" t="inlineStr">
        <is>
          <t>Insumos</t>
        </is>
      </c>
      <c r="B19" s="12">
        <f>+Fertilizacion!L20</f>
        <v/>
      </c>
      <c r="D19" s="12" t="inlineStr">
        <is>
          <t>precio</t>
        </is>
      </c>
      <c r="E19" s="12">
        <f>+Recoleccion!E20</f>
        <v/>
      </c>
    </row>
    <row r="20">
      <c r="A20" s="12" t="inlineStr">
        <is>
          <t>Sub-total</t>
        </is>
      </c>
      <c r="B20" s="12">
        <f>+B18+B19</f>
        <v/>
      </c>
      <c r="D20" s="12" t="inlineStr">
        <is>
          <t>Sub-total</t>
        </is>
      </c>
      <c r="E20" s="12">
        <f>+E19</f>
        <v/>
      </c>
    </row>
  </sheetData>
  <mergeCells count="12">
    <mergeCell ref="G12:H12"/>
    <mergeCell ref="A2:B2"/>
    <mergeCell ref="D7:E7"/>
    <mergeCell ref="A7:B7"/>
    <mergeCell ref="G7:H7"/>
    <mergeCell ref="G1:H2"/>
    <mergeCell ref="A5:B5"/>
    <mergeCell ref="A1:E1"/>
    <mergeCell ref="A17:B17"/>
    <mergeCell ref="D17:E17"/>
    <mergeCell ref="D12:E12"/>
    <mergeCell ref="A12:B12"/>
  </mergeCells>
  <hyperlinks>
    <hyperlink xmlns:r="http://schemas.openxmlformats.org/officeDocument/2006/relationships" ref="G1" location="INICIO!A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2" sqref="A12:C13"/>
    </sheetView>
  </sheetViews>
  <sheetFormatPr baseColWidth="10" defaultRowHeight="14.5"/>
  <cols>
    <col hidden="1" width="10.453125" customWidth="1" style="40" min="2" max="2"/>
    <col hidden="1" width="13" customWidth="1" style="40" min="5" max="5"/>
  </cols>
  <sheetData>
    <row r="1">
      <c r="A1" s="39" t="inlineStr">
        <is>
          <t>Instalacion</t>
        </is>
      </c>
      <c r="B1" s="39">
        <f>+Resultados!B10</f>
        <v/>
      </c>
      <c r="C1" s="41">
        <f>+B1/B9</f>
        <v/>
      </c>
      <c r="E1" t="n">
        <v>10</v>
      </c>
      <c r="F1" s="18" t="n"/>
    </row>
    <row r="2">
      <c r="A2" s="39" t="inlineStr">
        <is>
          <t>Control de Arvenses</t>
        </is>
      </c>
      <c r="B2" s="39">
        <f>+Resultados!B15</f>
        <v/>
      </c>
      <c r="C2" s="41">
        <f>+B2/B9</f>
        <v/>
      </c>
      <c r="E2" t="n">
        <v>30</v>
      </c>
      <c r="F2" s="18" t="n"/>
    </row>
    <row r="3">
      <c r="A3" s="39" t="inlineStr">
        <is>
          <t>Fertilización</t>
        </is>
      </c>
      <c r="B3" s="39">
        <f>+Resultados!B20</f>
        <v/>
      </c>
      <c r="C3" s="41">
        <f>+B3/B9</f>
        <v/>
      </c>
      <c r="E3" t="n">
        <v>40</v>
      </c>
      <c r="F3" s="18" t="n"/>
    </row>
    <row r="4">
      <c r="A4" s="39" t="inlineStr">
        <is>
          <t>Control Fitosanitario</t>
        </is>
      </c>
      <c r="B4" s="39">
        <f>+Resultados!E10</f>
        <v/>
      </c>
      <c r="C4" s="41">
        <f>+B4/B9</f>
        <v/>
      </c>
      <c r="E4" t="n">
        <v>15</v>
      </c>
      <c r="F4" s="18" t="n"/>
    </row>
    <row r="5">
      <c r="A5" s="39" t="inlineStr">
        <is>
          <t>Regulación de Sombríos</t>
        </is>
      </c>
      <c r="B5" s="39">
        <f>+Resultados!E15</f>
        <v/>
      </c>
      <c r="C5" s="41">
        <f>+B5/B9</f>
        <v/>
      </c>
      <c r="E5" t="n">
        <v>80</v>
      </c>
      <c r="F5" s="18" t="n"/>
    </row>
    <row r="6">
      <c r="A6" s="39" t="inlineStr">
        <is>
          <t>Recolección</t>
        </is>
      </c>
      <c r="B6" s="39">
        <f>+Resultados!E20</f>
        <v/>
      </c>
      <c r="C6" s="41">
        <f>+B6/B9</f>
        <v/>
      </c>
      <c r="E6" t="n">
        <v>66</v>
      </c>
      <c r="F6" s="18" t="n"/>
    </row>
    <row r="7">
      <c r="A7" s="39" t="inlineStr">
        <is>
          <t>Beneficio</t>
        </is>
      </c>
      <c r="B7" s="39">
        <f>+Resultados!H9</f>
        <v/>
      </c>
      <c r="C7" s="41">
        <f>+B7/B9</f>
        <v/>
      </c>
      <c r="E7" t="n">
        <v>37</v>
      </c>
      <c r="F7" s="18" t="n"/>
    </row>
    <row r="8">
      <c r="A8" s="39" t="inlineStr">
        <is>
          <t>Administración</t>
        </is>
      </c>
      <c r="B8" s="39">
        <f>+Resultados!H14</f>
        <v/>
      </c>
      <c r="C8" s="41">
        <f>+B8/B9</f>
        <v/>
      </c>
      <c r="E8" t="n">
        <v>25</v>
      </c>
      <c r="F8" s="18" t="n"/>
    </row>
    <row r="9">
      <c r="A9" s="39" t="inlineStr">
        <is>
          <t>Total</t>
        </is>
      </c>
      <c r="B9" s="39">
        <f>+SUM(B1:B8)</f>
        <v/>
      </c>
      <c r="C9" s="39" t="n"/>
      <c r="E9">
        <f>+SUM(E1:E8)</f>
        <v/>
      </c>
      <c r="F9" s="18" t="n"/>
    </row>
    <row r="12">
      <c r="A12" s="53" t="inlineStr">
        <is>
          <t>INICIO</t>
        </is>
      </c>
    </row>
    <row r="13"/>
  </sheetData>
  <mergeCells count="1">
    <mergeCell ref="A12:C13"/>
  </mergeCells>
  <hyperlinks>
    <hyperlink xmlns:r="http://schemas.openxmlformats.org/officeDocument/2006/relationships" ref="A12" location="INICIO!A1" r:id="rId1"/>
  </hyperlinks>
  <pageMargins left="0.7" right="0.7" top="0.75" bottom="0.75" header="0.3" footer="0.3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H1" sqref="H1:I2"/>
    </sheetView>
  </sheetViews>
  <sheetFormatPr baseColWidth="10" defaultRowHeight="14.5"/>
  <cols>
    <col width="9.81640625" bestFit="1" customWidth="1" style="40" min="2" max="2"/>
    <col width="14.26953125" bestFit="1" customWidth="1" style="40" min="3" max="3"/>
    <col width="14.08984375" bestFit="1" customWidth="1" style="40" min="4" max="4"/>
    <col width="19.54296875" bestFit="1" customWidth="1" style="40" min="5" max="5"/>
    <col width="17.36328125" bestFit="1" customWidth="1" style="40" min="6" max="6"/>
  </cols>
  <sheetData>
    <row r="1">
      <c r="A1" s="35" t="inlineStr">
        <is>
          <t>ID LOTE</t>
        </is>
      </c>
      <c r="B1" s="35" t="inlineStr">
        <is>
          <t>AREA</t>
        </is>
      </c>
      <c r="C1" s="35" t="inlineStr">
        <is>
          <t># ARBOLES</t>
        </is>
      </c>
      <c r="D1" s="35" t="inlineStr">
        <is>
          <t>VARIEDAD</t>
        </is>
      </c>
      <c r="E1" s="35" t="inlineStr">
        <is>
          <t>FECHA DE LABOR</t>
        </is>
      </c>
      <c r="F1" s="35" t="inlineStr">
        <is>
          <t>EDAD (MESES)</t>
        </is>
      </c>
      <c r="H1" s="54" t="inlineStr">
        <is>
          <t>INICIO</t>
        </is>
      </c>
    </row>
    <row r="2">
      <c r="E2" s="38" t="n"/>
      <c r="F2">
        <f>IF(E2="", 0, DATEDIF(VALUE(E2), TODAY(), "M"))</f>
        <v/>
      </c>
    </row>
    <row r="3">
      <c r="F3">
        <f>IF(E3="", 0, DATEDIF(VALUE(E3), TODAY(), "M"))</f>
        <v/>
      </c>
    </row>
    <row r="4">
      <c r="F4">
        <f>IF(E4="", 0, DATEDIF(VALUE(E4), TODAY(), "M"))</f>
        <v/>
      </c>
    </row>
    <row r="5">
      <c r="F5">
        <f>IF(E5="", 0, DATEDIF(VALUE(E5), TODAY(), "M"))</f>
        <v/>
      </c>
    </row>
    <row r="6">
      <c r="F6">
        <f>IF(E6="", 0, DATEDIF(VALUE(E6), TODAY(), "M"))</f>
        <v/>
      </c>
    </row>
    <row r="7">
      <c r="F7">
        <f>IF(E7="", 0, DATEDIF(VALUE(E7), TODAY(), "M"))</f>
        <v/>
      </c>
    </row>
    <row r="8">
      <c r="F8">
        <f>IF(E8="", 0, DATEDIF(VALUE(E8), TODAY(), "M"))</f>
        <v/>
      </c>
    </row>
    <row r="9">
      <c r="F9">
        <f>IF(E9="", 0, DATEDIF(VALUE(E9), TODAY(), "M"))</f>
        <v/>
      </c>
    </row>
    <row r="10">
      <c r="F10">
        <f>IF(E10="", 0, DATEDIF(VALUE(E10), TODAY(), "M"))</f>
        <v/>
      </c>
    </row>
    <row r="11">
      <c r="F11">
        <f>IF(E11="", 0, DATEDIF(VALUE(E11), TODAY(), "M"))</f>
        <v/>
      </c>
    </row>
    <row r="12">
      <c r="F12">
        <f>IF(E12="", 0, DATEDIF(VALUE(E12), TODAY(), "M"))</f>
        <v/>
      </c>
    </row>
    <row r="13">
      <c r="F13">
        <f>IF(E13="", 0, DATEDIF(VALUE(E13), TODAY(), "M"))</f>
        <v/>
      </c>
    </row>
    <row r="14">
      <c r="F14">
        <f>IF(E14="", 0, DATEDIF(VALUE(E14), TODAY(), "M"))</f>
        <v/>
      </c>
    </row>
    <row r="15">
      <c r="F15">
        <f>IF(E15="", 0, DATEDIF(VALUE(E15), TODAY(), "M"))</f>
        <v/>
      </c>
    </row>
    <row r="16">
      <c r="F16">
        <f>IF(E16="", 0, DATEDIF(VALUE(E16), TODAY(), "M"))</f>
        <v/>
      </c>
    </row>
    <row r="17">
      <c r="A17" t="inlineStr">
        <is>
          <t>AREA TOTAL</t>
        </is>
      </c>
      <c r="B17">
        <f>SUBTOTAL(109,Tabla4[AREA])</f>
        <v/>
      </c>
      <c r="C17">
        <f>SUBTOTAL(109,Tabla4['# ARBOLES])</f>
        <v/>
      </c>
      <c r="F17">
        <f>SUBTOTAL(101,Tabla4[EDAD (MESES)])</f>
        <v/>
      </c>
    </row>
  </sheetData>
  <mergeCells count="1">
    <mergeCell ref="H1:I2"/>
  </mergeCells>
  <hyperlinks>
    <hyperlink xmlns:r="http://schemas.openxmlformats.org/officeDocument/2006/relationships" ref="H1" location="INICIO!A1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N2" sqref="N2:N8"/>
    </sheetView>
  </sheetViews>
  <sheetFormatPr baseColWidth="10" defaultRowHeight="14.5"/>
  <cols>
    <col width="13.81640625" customWidth="1" style="40" min="1" max="1"/>
    <col width="12.7265625" customWidth="1" style="40" min="2" max="3"/>
    <col width="17" customWidth="1" style="40" min="4" max="5"/>
    <col width="13.54296875" bestFit="1" customWidth="1" style="40" min="6" max="6"/>
    <col hidden="1" width="13" customWidth="1" style="40" min="7" max="10"/>
    <col hidden="1" width="10.90625" customWidth="1" style="40" min="11" max="12"/>
    <col hidden="1" width="13" customWidth="1" style="40" min="13" max="13"/>
  </cols>
  <sheetData>
    <row r="1" ht="30" customHeight="1" s="40">
      <c r="A1" s="55" t="inlineStr">
        <is>
          <t>INGRESOS POR VENTAS DE CAFÉ</t>
        </is>
      </c>
      <c r="B1" s="62" t="n"/>
      <c r="C1" s="62" t="n"/>
      <c r="D1" s="62" t="n"/>
      <c r="E1" s="62" t="n"/>
      <c r="F1" s="62" t="n"/>
    </row>
    <row r="2" ht="31" customHeight="1" s="40">
      <c r="A2" s="1" t="inlineStr">
        <is>
          <t>Fecha</t>
        </is>
      </c>
      <c r="B2" s="2" t="inlineStr">
        <is>
          <t>Unidad de venta</t>
        </is>
      </c>
      <c r="C2" s="2" t="inlineStr">
        <is>
          <t>Tupo de café</t>
        </is>
      </c>
      <c r="D2" s="1" t="inlineStr">
        <is>
          <t>Cantidad</t>
        </is>
      </c>
      <c r="E2" s="1" t="inlineStr">
        <is>
          <t>Valor Unitario</t>
        </is>
      </c>
      <c r="F2" s="1" t="inlineStr">
        <is>
          <t>Valor total</t>
        </is>
      </c>
      <c r="N2" s="53" t="inlineStr">
        <is>
          <t>INICIO</t>
        </is>
      </c>
    </row>
    <row r="3" ht="15.5" customHeight="1" s="40">
      <c r="A3" s="26" t="n"/>
      <c r="B3" s="4" t="n"/>
      <c r="C3" s="4" t="n"/>
      <c r="D3" s="4" t="n"/>
      <c r="E3" s="21">
        <f>IFERROR(F3/D3, 0)</f>
        <v/>
      </c>
      <c r="F3" s="21" t="n"/>
      <c r="K3" t="inlineStr">
        <is>
          <t>kilos</t>
        </is>
      </c>
      <c r="L3" t="inlineStr">
        <is>
          <t>cps</t>
        </is>
      </c>
    </row>
    <row r="4" ht="15.5" customHeight="1" s="40">
      <c r="A4" s="26" t="n"/>
      <c r="B4" s="4" t="n"/>
      <c r="C4" s="4" t="n"/>
      <c r="D4" s="4" t="n"/>
      <c r="E4" s="21">
        <f>IFERROR(F4/D4, 0)</f>
        <v/>
      </c>
      <c r="F4" s="21" t="n"/>
      <c r="I4" t="n">
        <v>346668</v>
      </c>
      <c r="L4" t="inlineStr">
        <is>
          <t>pasilla</t>
        </is>
      </c>
    </row>
    <row r="5" ht="15.5" customHeight="1" s="40">
      <c r="A5" s="4" t="n"/>
      <c r="B5" s="4" t="n"/>
      <c r="C5" s="4" t="n"/>
      <c r="D5" s="4" t="n"/>
      <c r="E5" s="21">
        <f>IFERROR(F5/D5, 0)</f>
        <v/>
      </c>
      <c r="F5" s="21" t="n"/>
      <c r="G5" t="n">
        <v>21.68</v>
      </c>
      <c r="I5">
        <f>+I4/D3</f>
        <v/>
      </c>
    </row>
    <row r="6" ht="15.5" customHeight="1" s="40">
      <c r="A6" s="26" t="n"/>
      <c r="B6" s="4" t="n"/>
      <c r="C6" s="4" t="n"/>
      <c r="D6" s="4" t="n"/>
      <c r="E6" s="21">
        <f>IFERROR(F6/D6, 0)</f>
        <v/>
      </c>
      <c r="F6" s="21" t="n"/>
    </row>
    <row r="7" ht="15.5" customHeight="1" s="40">
      <c r="A7" s="26" t="n"/>
      <c r="B7" s="4" t="n"/>
      <c r="C7" s="4" t="n"/>
      <c r="D7" s="4" t="n"/>
      <c r="E7" s="21">
        <f>IFERROR(F7/D7, 0)</f>
        <v/>
      </c>
      <c r="F7" s="21" t="n"/>
    </row>
    <row r="8" ht="15.5" customHeight="1" s="40">
      <c r="A8" s="26" t="n"/>
      <c r="B8" s="4" t="n"/>
      <c r="C8" s="4" t="n"/>
      <c r="D8" s="4" t="n"/>
      <c r="E8" s="21">
        <f>IFERROR(F8/D8, 0)</f>
        <v/>
      </c>
      <c r="F8" s="21" t="n"/>
    </row>
    <row r="9" ht="15.5" customHeight="1" s="40">
      <c r="A9" s="4" t="n"/>
      <c r="B9" s="4" t="n"/>
      <c r="C9" s="4" t="n"/>
      <c r="D9" s="4" t="n"/>
      <c r="E9" s="21">
        <f>IFERROR(F9/D9, 0)</f>
        <v/>
      </c>
      <c r="F9" s="21" t="n"/>
      <c r="H9">
        <f>+D3+D4+D5+D7+D8+D9</f>
        <v/>
      </c>
    </row>
    <row r="10" ht="15.5" customHeight="1" s="40">
      <c r="A10" s="4" t="n"/>
      <c r="B10" s="4" t="n"/>
      <c r="C10" s="4" t="n"/>
      <c r="D10" s="4" t="n"/>
      <c r="E10" s="21">
        <f>IFERROR(F10/D10, 0)</f>
        <v/>
      </c>
      <c r="F10" s="21" t="n"/>
      <c r="H10">
        <f>+D6+D10</f>
        <v/>
      </c>
      <c r="J10" t="n">
        <v>220000</v>
      </c>
    </row>
    <row r="11" ht="15.5" customHeight="1" s="40">
      <c r="A11" s="4" t="n"/>
      <c r="B11" s="4" t="n"/>
      <c r="C11" s="4" t="n"/>
      <c r="D11" s="4" t="n"/>
      <c r="E11" s="21">
        <f>IFERROR(F11/D11, 0)</f>
        <v/>
      </c>
      <c r="F11" s="21" t="n"/>
      <c r="H11">
        <f>+H9+H10</f>
        <v/>
      </c>
      <c r="I11" t="n">
        <v>872</v>
      </c>
      <c r="J11">
        <f>+J10/12.5</f>
        <v/>
      </c>
    </row>
    <row r="12" ht="15.5" customHeight="1" s="40">
      <c r="A12" s="4" t="n"/>
      <c r="B12" s="4" t="n"/>
      <c r="C12" s="4" t="n"/>
      <c r="D12" s="4" t="n"/>
      <c r="E12" s="21">
        <f>IFERROR(F12/D12, 0)</f>
        <v/>
      </c>
      <c r="F12" s="21" t="n"/>
      <c r="I12">
        <f>+I11/5</f>
        <v/>
      </c>
      <c r="J12">
        <f>+J11/4000</f>
        <v/>
      </c>
    </row>
    <row r="13" ht="15.5" customHeight="1" s="40">
      <c r="A13" s="4" t="n"/>
      <c r="B13" s="4" t="n"/>
      <c r="C13" s="4" t="n"/>
      <c r="D13" s="4" t="n"/>
      <c r="E13" s="21">
        <f>IFERROR(F13/D13, 0)</f>
        <v/>
      </c>
      <c r="F13" s="21" t="n"/>
    </row>
    <row r="14" ht="15.5" customHeight="1" s="40">
      <c r="A14" s="4" t="n"/>
      <c r="B14" s="4" t="n"/>
      <c r="C14" s="4" t="n"/>
      <c r="D14" s="4" t="n"/>
      <c r="E14" s="21">
        <f>IFERROR(F14/D14, 0)</f>
        <v/>
      </c>
      <c r="F14" s="21" t="n"/>
      <c r="H14" s="32">
        <f>+F3+F4+F5+F7+F8+F9</f>
        <v/>
      </c>
      <c r="I14" t="n">
        <v>1416</v>
      </c>
    </row>
    <row r="15" ht="15.5" customHeight="1" s="40">
      <c r="A15" s="4" t="n"/>
      <c r="B15" s="4" t="n"/>
      <c r="C15" s="4" t="n"/>
      <c r="D15" s="4" t="n"/>
      <c r="E15" s="21">
        <f>IFERROR(F15/D15, 0)</f>
        <v/>
      </c>
      <c r="F15" s="21" t="n"/>
      <c r="H15" s="32">
        <f>+F6+F10</f>
        <v/>
      </c>
    </row>
    <row r="16" ht="15.5" customHeight="1" s="40">
      <c r="A16" s="4" t="n"/>
      <c r="B16" s="4" t="n"/>
      <c r="C16" s="4" t="n"/>
      <c r="D16" s="4" t="n"/>
      <c r="E16" s="21">
        <f>IFERROR(F16/D16, 0)</f>
        <v/>
      </c>
      <c r="F16" s="21" t="n"/>
    </row>
    <row r="17" ht="15.5" customHeight="1" s="40">
      <c r="A17" s="4" t="n"/>
      <c r="B17" s="4" t="n"/>
      <c r="C17" s="4" t="n"/>
      <c r="D17" s="4" t="n"/>
      <c r="E17" s="21">
        <f>IFERROR(F17/D17, 0)</f>
        <v/>
      </c>
      <c r="F17" s="21" t="n"/>
    </row>
    <row r="18" ht="15.5" customHeight="1" s="40">
      <c r="A18" s="4" t="n"/>
      <c r="B18" s="4" t="n"/>
      <c r="C18" s="4" t="n"/>
      <c r="D18" s="4" t="n"/>
      <c r="E18" s="21">
        <f>IFERROR(F18/D18, 0)</f>
        <v/>
      </c>
      <c r="F18" s="21" t="n"/>
    </row>
    <row r="19" ht="15.5" customHeight="1" s="40">
      <c r="A19" s="4" t="n"/>
      <c r="B19" s="4" t="n"/>
      <c r="C19" s="4" t="n"/>
      <c r="D19" s="4" t="n"/>
      <c r="E19" s="21">
        <f>IFERROR(F19/D19, 0)</f>
        <v/>
      </c>
      <c r="F19" s="21" t="n"/>
      <c r="H19">
        <f>+F20*7/100</f>
        <v/>
      </c>
    </row>
    <row r="20" ht="15.5" customHeight="1" s="40">
      <c r="A20" s="11" t="inlineStr">
        <is>
          <t>Total</t>
        </is>
      </c>
      <c r="B20" s="11">
        <f>+SUM(B3:B19)</f>
        <v/>
      </c>
      <c r="C20" s="11" t="n"/>
      <c r="D20" s="6">
        <f>+SUM(D3:D19)</f>
        <v/>
      </c>
      <c r="E20" s="6" t="inlineStr">
        <is>
          <t>Total</t>
        </is>
      </c>
      <c r="F20" s="23">
        <f>+SUM(F3:F19)</f>
        <v/>
      </c>
    </row>
  </sheetData>
  <mergeCells count="2">
    <mergeCell ref="A1:F1"/>
    <mergeCell ref="N2:N8"/>
  </mergeCells>
  <dataValidations count="2">
    <dataValidation sqref="C3:C19" showDropDown="0" showInputMessage="1" showErrorMessage="1" allowBlank="1" type="list">
      <formula1>$L$3:$L$4</formula1>
    </dataValidation>
    <dataValidation sqref="B3:B19" showDropDown="0" showInputMessage="1" showErrorMessage="1" allowBlank="1" type="list">
      <formula1>$K$3</formula1>
    </dataValidation>
  </dataValidations>
  <hyperlinks>
    <hyperlink xmlns:r="http://schemas.openxmlformats.org/officeDocument/2006/relationships" ref="N2" location="INICIO!A1" r:id="rId1"/>
  </hyperlinks>
  <pageMargins left="0.7" right="0.7" top="0.75" bottom="0.75" header="0.3" footer="0.3"/>
  <pageSetup orientation="portrait" paperSize="9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zoomScale="90" zoomScaleNormal="90" workbookViewId="0">
      <selection activeCell="G2" sqref="G2:G9"/>
    </sheetView>
  </sheetViews>
  <sheetFormatPr baseColWidth="10" defaultRowHeight="14.5"/>
  <cols>
    <col width="14.08984375" customWidth="1" style="40" min="2" max="2"/>
    <col width="18" customWidth="1" style="40" min="3" max="3"/>
    <col width="14.81640625" customWidth="1" style="40" min="4" max="4"/>
    <col width="14" customWidth="1" style="40" min="5" max="5"/>
    <col width="18.26953125" customWidth="1" style="40" min="6" max="6"/>
    <col width="9.81640625" customWidth="1" style="40" min="7" max="7"/>
    <col width="13.453125" customWidth="1" style="40" min="10" max="10"/>
    <col width="14.26953125" customWidth="1" style="40" min="11" max="11"/>
    <col width="17.54296875" customWidth="1" style="40" min="12" max="12"/>
  </cols>
  <sheetData>
    <row r="1" ht="15.5" customHeight="1" s="40">
      <c r="A1" s="56" t="inlineStr">
        <is>
          <t>MANO DE OBRA</t>
        </is>
      </c>
      <c r="H1" s="55" t="inlineStr">
        <is>
          <t>INSUMOS</t>
        </is>
      </c>
      <c r="I1" s="62" t="n"/>
      <c r="J1" s="62" t="n"/>
      <c r="K1" s="62" t="n"/>
      <c r="L1" s="62" t="n"/>
    </row>
    <row r="2" ht="31" customHeight="1" s="40">
      <c r="A2" s="1" t="inlineStr">
        <is>
          <t>ID LOTES</t>
        </is>
      </c>
      <c r="B2" s="1" t="inlineStr">
        <is>
          <t>Fecha</t>
        </is>
      </c>
      <c r="C2" s="8" t="inlineStr">
        <is>
          <t>Labor realizada</t>
        </is>
      </c>
      <c r="D2" s="3" t="inlineStr">
        <is>
          <t>Número de jornales</t>
        </is>
      </c>
      <c r="E2" s="8" t="inlineStr">
        <is>
          <t>Valor unitario</t>
        </is>
      </c>
      <c r="F2" s="1" t="inlineStr">
        <is>
          <t>Valor total</t>
        </is>
      </c>
      <c r="G2" s="57" t="inlineStr">
        <is>
          <t>INICIO</t>
        </is>
      </c>
      <c r="H2" s="1" t="inlineStr">
        <is>
          <t>Fecha</t>
        </is>
      </c>
      <c r="I2" s="8" t="inlineStr">
        <is>
          <t>Producto</t>
        </is>
      </c>
      <c r="J2" s="9" t="inlineStr">
        <is>
          <t>Cantidad</t>
        </is>
      </c>
      <c r="K2" s="1" t="inlineStr">
        <is>
          <t>Valor unitario</t>
        </is>
      </c>
      <c r="L2" s="1" t="inlineStr">
        <is>
          <t>Valor Total</t>
        </is>
      </c>
    </row>
    <row r="3" ht="15.5" customHeight="1" s="40">
      <c r="A3" s="48" t="n"/>
      <c r="B3" s="4" t="n"/>
      <c r="C3" s="4" t="n"/>
      <c r="D3" s="4" t="n"/>
      <c r="E3" s="4" t="n"/>
      <c r="F3" s="4">
        <f>IFERROR(D3*E3, 0)</f>
        <v/>
      </c>
      <c r="G3" s="65" t="n"/>
      <c r="H3" s="4" t="n"/>
      <c r="I3" s="4" t="n"/>
      <c r="J3" s="4" t="n"/>
      <c r="K3" s="4" t="n"/>
      <c r="L3" s="4">
        <f>IFERROR(+K3*J3, 0)</f>
        <v/>
      </c>
    </row>
    <row r="4" ht="15.5" customHeight="1" s="40">
      <c r="A4" s="48" t="n"/>
      <c r="B4" s="4" t="n"/>
      <c r="C4" s="4" t="n"/>
      <c r="D4" s="4" t="n"/>
      <c r="E4" s="4" t="n"/>
      <c r="F4" s="4">
        <f>IFERROR(D4*E4, 0)</f>
        <v/>
      </c>
      <c r="G4" s="65" t="n"/>
      <c r="H4" s="4" t="n"/>
      <c r="I4" s="4" t="n"/>
      <c r="J4" s="4" t="n"/>
      <c r="K4" s="4" t="n"/>
      <c r="L4" s="4">
        <f>IFERROR(+K4*J4, 0)</f>
        <v/>
      </c>
    </row>
    <row r="5" ht="15.5" customHeight="1" s="40">
      <c r="A5" s="48" t="n"/>
      <c r="B5" s="4" t="n"/>
      <c r="C5" s="4" t="n"/>
      <c r="D5" s="4" t="n"/>
      <c r="E5" s="4" t="n"/>
      <c r="F5" s="4">
        <f>IFERROR(D5*E5, 0)</f>
        <v/>
      </c>
      <c r="G5" s="65" t="n"/>
      <c r="H5" s="4" t="n"/>
      <c r="I5" s="4" t="n"/>
      <c r="J5" s="4" t="n"/>
      <c r="K5" s="4" t="n"/>
      <c r="L5" s="4">
        <f>IFERROR(+K5*J5, 0)</f>
        <v/>
      </c>
    </row>
    <row r="6" ht="15.5" customHeight="1" s="40">
      <c r="A6" s="48" t="n"/>
      <c r="B6" s="4" t="n"/>
      <c r="C6" s="4" t="n"/>
      <c r="D6" s="33" t="n"/>
      <c r="E6" s="4" t="n"/>
      <c r="F6" s="4">
        <f>IFERROR(D6*E6, 0)</f>
        <v/>
      </c>
      <c r="G6" s="65" t="n"/>
      <c r="H6" s="4" t="n"/>
      <c r="I6" s="4" t="n"/>
      <c r="J6" s="4" t="n"/>
      <c r="K6" s="4" t="n"/>
      <c r="L6" s="4">
        <f>IFERROR(+K6*J6, 0)</f>
        <v/>
      </c>
    </row>
    <row r="7" ht="15.5" customHeight="1" s="40">
      <c r="A7" s="48" t="n"/>
      <c r="B7" s="4" t="n"/>
      <c r="C7" s="4" t="n"/>
      <c r="D7" s="4" t="n"/>
      <c r="E7" s="4" t="n"/>
      <c r="F7" s="4">
        <f>IFERROR(D7*E7, 0)</f>
        <v/>
      </c>
      <c r="G7" s="65" t="n"/>
      <c r="H7" s="4" t="n"/>
      <c r="I7" s="4" t="n"/>
      <c r="J7" s="4" t="n"/>
      <c r="K7" s="4" t="n"/>
      <c r="L7" s="4">
        <f>IFERROR(+K7*J7, 0)</f>
        <v/>
      </c>
    </row>
    <row r="8" ht="15.5" customHeight="1" s="40">
      <c r="A8" s="48" t="n"/>
      <c r="B8" s="4" t="n"/>
      <c r="C8" s="4" t="n"/>
      <c r="D8" s="4" t="n"/>
      <c r="E8" s="4" t="n"/>
      <c r="F8" s="4">
        <f>IFERROR(D8*E8, 0)</f>
        <v/>
      </c>
      <c r="G8" s="65" t="n"/>
      <c r="H8" s="4" t="n"/>
      <c r="I8" s="4" t="n"/>
      <c r="J8" s="4" t="n"/>
      <c r="K8" s="4" t="n"/>
      <c r="L8" s="4">
        <f>IFERROR(+K8*J8, 0)</f>
        <v/>
      </c>
    </row>
    <row r="9" ht="15.5" customHeight="1" s="40">
      <c r="A9" s="48" t="n"/>
      <c r="B9" s="4" t="n"/>
      <c r="C9" s="4" t="n"/>
      <c r="D9" s="4" t="n"/>
      <c r="E9" s="4" t="n"/>
      <c r="F9" s="4">
        <f>IFERROR(D9*E9, 0)</f>
        <v/>
      </c>
      <c r="G9" s="65" t="n"/>
      <c r="H9" s="4" t="n"/>
      <c r="I9" s="4" t="n"/>
      <c r="J9" s="4" t="n"/>
      <c r="K9" s="4" t="n"/>
      <c r="L9" s="4">
        <f>IFERROR(+K9*J9, 0)</f>
        <v/>
      </c>
    </row>
    <row r="10" ht="15.5" customHeight="1" s="40">
      <c r="A10" s="48" t="n"/>
      <c r="B10" s="4" t="n"/>
      <c r="C10" s="4" t="n"/>
      <c r="D10" s="4" t="n"/>
      <c r="E10" s="4" t="n"/>
      <c r="F10" s="4">
        <f>IFERROR(D10*E10, 0)</f>
        <v/>
      </c>
      <c r="H10" s="4" t="n"/>
      <c r="I10" s="4" t="n"/>
      <c r="J10" s="4" t="n"/>
      <c r="K10" s="4" t="n"/>
      <c r="L10" s="4">
        <f>IFERROR(+K10*J10, 0)</f>
        <v/>
      </c>
    </row>
    <row r="11" ht="15.5" customHeight="1" s="40">
      <c r="A11" s="48" t="n"/>
      <c r="B11" s="4" t="n"/>
      <c r="C11" s="4" t="n"/>
      <c r="D11" s="4" t="n"/>
      <c r="E11" s="4" t="n"/>
      <c r="F11" s="4">
        <f>IFERROR(D11*E11, 0)</f>
        <v/>
      </c>
      <c r="H11" s="4" t="n"/>
      <c r="I11" s="4" t="n"/>
      <c r="J11" s="4" t="n"/>
      <c r="K11" s="4" t="n"/>
      <c r="L11" s="4">
        <f>IFERROR(+K11*J11, 0)</f>
        <v/>
      </c>
    </row>
    <row r="12" ht="15.5" customHeight="1" s="40">
      <c r="A12" s="48" t="n"/>
      <c r="B12" s="4" t="n"/>
      <c r="C12" s="4" t="n"/>
      <c r="D12" s="4" t="n"/>
      <c r="E12" s="4" t="n"/>
      <c r="F12" s="4">
        <f>IFERROR(D12*E12, 0)</f>
        <v/>
      </c>
      <c r="H12" s="4" t="n"/>
      <c r="I12" s="4" t="n"/>
      <c r="J12" s="4" t="n"/>
      <c r="K12" s="4" t="n"/>
      <c r="L12" s="4">
        <f>IFERROR(+K12*J12, 0)</f>
        <v/>
      </c>
    </row>
    <row r="13" ht="15.5" customHeight="1" s="40">
      <c r="A13" s="48" t="n"/>
      <c r="B13" s="4" t="n"/>
      <c r="C13" s="4" t="n"/>
      <c r="D13" s="4" t="n"/>
      <c r="E13" s="4" t="n"/>
      <c r="F13" s="4">
        <f>IFERROR(D13*E13, 0)</f>
        <v/>
      </c>
      <c r="H13" s="4" t="n"/>
      <c r="I13" s="4" t="n"/>
      <c r="J13" s="4" t="n"/>
      <c r="K13" s="4" t="n"/>
      <c r="L13" s="4">
        <f>IFERROR(+K13*J13, 0)</f>
        <v/>
      </c>
    </row>
    <row r="14" ht="15.5" customHeight="1" s="40">
      <c r="A14" s="48" t="n"/>
      <c r="B14" s="4" t="n"/>
      <c r="C14" s="4" t="n"/>
      <c r="D14" s="4" t="n"/>
      <c r="E14" s="4" t="n"/>
      <c r="F14" s="4">
        <f>IFERROR(D14*E14, 0)</f>
        <v/>
      </c>
      <c r="H14" s="4" t="n"/>
      <c r="I14" s="4" t="n"/>
      <c r="J14" s="4" t="n"/>
      <c r="K14" s="4" t="n"/>
      <c r="L14" s="4">
        <f>IFERROR(+K14*J14, 0)</f>
        <v/>
      </c>
    </row>
    <row r="15" ht="15.5" customHeight="1" s="40">
      <c r="A15" s="48" t="n"/>
      <c r="B15" s="4" t="n"/>
      <c r="C15" s="4" t="n"/>
      <c r="D15" s="4" t="n"/>
      <c r="E15" s="4" t="n"/>
      <c r="F15" s="4">
        <f>IFERROR(D15*E15, 0)</f>
        <v/>
      </c>
      <c r="H15" s="4" t="n"/>
      <c r="I15" s="4" t="n"/>
      <c r="J15" s="4" t="n"/>
      <c r="K15" s="4" t="n"/>
      <c r="L15" s="4">
        <f>IFERROR(+K15*J15, 0)</f>
        <v/>
      </c>
    </row>
    <row r="16" ht="15.5" customHeight="1" s="40">
      <c r="A16" s="48" t="n"/>
      <c r="B16" s="4" t="n"/>
      <c r="C16" s="4" t="n"/>
      <c r="D16" s="4" t="n"/>
      <c r="E16" s="4" t="n"/>
      <c r="F16" s="4">
        <f>IFERROR(D16*E16, 0)</f>
        <v/>
      </c>
      <c r="H16" s="4" t="n"/>
      <c r="I16" s="4" t="n"/>
      <c r="J16" s="4" t="n"/>
      <c r="K16" s="4" t="n"/>
      <c r="L16" s="4">
        <f>IFERROR(+K16*J16, 0)</f>
        <v/>
      </c>
    </row>
    <row r="17" ht="15.5" customHeight="1" s="40">
      <c r="A17" s="48" t="n"/>
      <c r="B17" s="4" t="n"/>
      <c r="C17" s="4" t="n"/>
      <c r="D17" s="4" t="n"/>
      <c r="E17" s="4" t="n"/>
      <c r="F17" s="4">
        <f>IFERROR(D17*E17, 0)</f>
        <v/>
      </c>
      <c r="H17" s="4" t="n"/>
      <c r="I17" s="4" t="n"/>
      <c r="J17" s="4" t="n"/>
      <c r="K17" s="4" t="n"/>
      <c r="L17" s="4">
        <f>IFERROR(+K17*J17, 0)</f>
        <v/>
      </c>
    </row>
    <row r="18" ht="15.5" customHeight="1" s="40">
      <c r="A18" s="48" t="n"/>
      <c r="B18" s="4" t="n"/>
      <c r="C18" s="4" t="n"/>
      <c r="D18" s="4" t="n"/>
      <c r="E18" s="4" t="n"/>
      <c r="F18" s="4">
        <f>IFERROR(D18*E18, 0)</f>
        <v/>
      </c>
      <c r="H18" s="4" t="n"/>
      <c r="I18" s="4" t="n"/>
      <c r="J18" s="4" t="n"/>
      <c r="K18" s="4" t="n"/>
      <c r="L18" s="4">
        <f>IFERROR(+K18*J18, 0)</f>
        <v/>
      </c>
    </row>
    <row r="19" ht="15.5" customHeight="1" s="40">
      <c r="A19" s="48" t="n"/>
      <c r="B19" s="4" t="n"/>
      <c r="C19" s="4" t="n"/>
      <c r="D19" s="4" t="n"/>
      <c r="E19" s="4" t="n"/>
      <c r="F19" s="4">
        <f>IFERROR(D19*E19, 0)</f>
        <v/>
      </c>
      <c r="H19" s="4" t="n"/>
      <c r="I19" s="4" t="n"/>
      <c r="J19" s="4" t="n"/>
      <c r="K19" s="4" t="n"/>
      <c r="L19" s="4">
        <f>IFERROR(+K19*J19, 0)</f>
        <v/>
      </c>
    </row>
    <row r="20" ht="15.5" customHeight="1" s="40">
      <c r="B20" s="5" t="n"/>
      <c r="C20" s="5" t="n"/>
      <c r="D20" s="5" t="n"/>
      <c r="E20" s="6" t="inlineStr">
        <is>
          <t>Total</t>
        </is>
      </c>
      <c r="F20" s="7">
        <f>+SUM(F3:F19)</f>
        <v/>
      </c>
      <c r="H20" s="5" t="n"/>
      <c r="I20" s="5" t="n"/>
      <c r="J20" s="5" t="n"/>
      <c r="K20" s="10" t="inlineStr">
        <is>
          <t>Total</t>
        </is>
      </c>
      <c r="L20" s="7">
        <f>+SUM(L3:L19)</f>
        <v/>
      </c>
    </row>
  </sheetData>
  <mergeCells count="3">
    <mergeCell ref="H1:L1"/>
    <mergeCell ref="A1:F1"/>
    <mergeCell ref="G2:G9"/>
  </mergeCells>
  <hyperlinks>
    <hyperlink xmlns:r="http://schemas.openxmlformats.org/officeDocument/2006/relationships" ref="G2" location="INICIO!A1" r:id="rId1"/>
  </hyperlinks>
  <pageMargins left="0.7" right="0.7" top="0.75" bottom="0.75" header="0.3" footer="0.3"/>
  <pageSetup orientation="portrait" paperSize="9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"/>
  <sheetViews>
    <sheetView zoomScale="90" zoomScaleNormal="90" workbookViewId="0">
      <selection activeCell="L3" sqref="L3"/>
    </sheetView>
  </sheetViews>
  <sheetFormatPr baseColWidth="10" defaultRowHeight="14.5"/>
  <cols>
    <col width="16.7265625" customWidth="1" style="40" min="2" max="2"/>
    <col width="13.54296875" customWidth="1" style="40" min="3" max="3"/>
    <col width="15.81640625" customWidth="1" style="40" min="5" max="5"/>
    <col width="18.26953125" customWidth="1" style="40" min="6" max="6"/>
    <col width="16" customWidth="1" style="40" min="9" max="9"/>
    <col width="13.26953125" customWidth="1" style="40" min="10" max="10"/>
    <col width="14.1796875" customWidth="1" style="40" min="12" max="12"/>
    <col width="18.54296875" customWidth="1" style="40" min="13" max="13"/>
  </cols>
  <sheetData>
    <row r="1" ht="15.5" customHeight="1" s="40">
      <c r="A1" s="56" t="inlineStr">
        <is>
          <t>MANO DE OBRA</t>
        </is>
      </c>
      <c r="H1" s="55" t="inlineStr">
        <is>
          <t>INSUMOS</t>
        </is>
      </c>
      <c r="I1" s="62" t="n"/>
      <c r="J1" s="62" t="n"/>
      <c r="K1" s="62" t="n"/>
      <c r="L1" s="62" t="n"/>
      <c r="M1" s="62" t="n"/>
    </row>
    <row r="2" ht="46.5" customHeight="1" s="40">
      <c r="A2" s="1" t="inlineStr">
        <is>
          <t>ID LOTES</t>
        </is>
      </c>
      <c r="B2" s="1" t="inlineStr">
        <is>
          <t>Fecha</t>
        </is>
      </c>
      <c r="C2" s="8" t="inlineStr">
        <is>
          <t>Labor realizada</t>
        </is>
      </c>
      <c r="D2" s="3" t="inlineStr">
        <is>
          <t>Número de jornales</t>
        </is>
      </c>
      <c r="E2" s="8" t="inlineStr">
        <is>
          <t>Valor Unitario</t>
        </is>
      </c>
      <c r="F2" s="1" t="inlineStr">
        <is>
          <t>Valor Total</t>
        </is>
      </c>
      <c r="G2" s="58" t="inlineStr">
        <is>
          <t>INICIO</t>
        </is>
      </c>
      <c r="H2" s="1" t="inlineStr">
        <is>
          <t>Fecha</t>
        </is>
      </c>
      <c r="I2" s="8" t="inlineStr">
        <is>
          <t>Labor realizada</t>
        </is>
      </c>
      <c r="J2" s="8" t="inlineStr">
        <is>
          <t>Producto</t>
        </is>
      </c>
      <c r="K2" s="9" t="inlineStr">
        <is>
          <t>Cantidad</t>
        </is>
      </c>
      <c r="L2" s="8" t="inlineStr">
        <is>
          <t>Valor unitario</t>
        </is>
      </c>
      <c r="M2" s="1" t="inlineStr">
        <is>
          <t>Valor Total</t>
        </is>
      </c>
    </row>
    <row r="3" ht="15.5" customHeight="1" s="40">
      <c r="A3" s="48" t="n"/>
      <c r="B3" s="27" t="n"/>
      <c r="C3" s="4" t="n"/>
      <c r="D3" s="4" t="n"/>
      <c r="E3" s="4" t="n"/>
      <c r="F3" s="21">
        <f>IFERROR(E3*D3, 0)</f>
        <v/>
      </c>
      <c r="G3" s="65" t="n"/>
      <c r="H3" s="4" t="n"/>
      <c r="I3" s="4" t="n"/>
      <c r="J3" s="4" t="n"/>
      <c r="K3" s="4" t="n"/>
      <c r="L3" s="4" t="n"/>
      <c r="M3" s="4">
        <f>IFERROR(+L3*K3, 0)</f>
        <v/>
      </c>
      <c r="N3" s="19" t="n"/>
      <c r="S3" t="inlineStr">
        <is>
          <t>manual</t>
        </is>
      </c>
      <c r="T3" t="inlineStr">
        <is>
          <t>plateo</t>
        </is>
      </c>
    </row>
    <row r="4" ht="15.5" customHeight="1" s="40">
      <c r="A4" s="48" t="n"/>
      <c r="B4" s="27" t="n"/>
      <c r="C4" s="4" t="n"/>
      <c r="D4" s="4" t="n"/>
      <c r="E4" s="4" t="n"/>
      <c r="F4" s="21">
        <f>IFERROR(E4*D4, 0)</f>
        <v/>
      </c>
      <c r="G4" s="65" t="n"/>
      <c r="H4" s="4" t="n"/>
      <c r="I4" s="4" t="n"/>
      <c r="J4" s="4" t="n"/>
      <c r="K4" s="4" t="n"/>
      <c r="L4" s="4" t="n"/>
      <c r="M4" s="4">
        <f>IFERROR(+L4*K4, 0)</f>
        <v/>
      </c>
      <c r="N4" s="19" t="n"/>
      <c r="S4" t="inlineStr">
        <is>
          <t>machete</t>
        </is>
      </c>
      <c r="T4" t="inlineStr">
        <is>
          <t>machete</t>
        </is>
      </c>
    </row>
    <row r="5" ht="15.5" customHeight="1" s="40">
      <c r="A5" s="48" t="n"/>
      <c r="B5" s="27" t="n"/>
      <c r="C5" s="4" t="n"/>
      <c r="D5" s="4" t="n"/>
      <c r="E5" s="4" t="n"/>
      <c r="F5" s="21">
        <f>IFERROR(E5*D5, 0)</f>
        <v/>
      </c>
      <c r="G5" s="65" t="n"/>
      <c r="H5" s="4" t="n"/>
      <c r="I5" s="4" t="n"/>
      <c r="J5" s="4" t="n"/>
      <c r="K5" s="4" t="n"/>
      <c r="L5" s="4" t="n"/>
      <c r="M5" s="4">
        <f>IFERROR(+L5*K5, 0)</f>
        <v/>
      </c>
      <c r="S5" t="inlineStr">
        <is>
          <t xml:space="preserve">guadaña </t>
        </is>
      </c>
      <c r="T5" t="inlineStr">
        <is>
          <t>mecanico</t>
        </is>
      </c>
    </row>
    <row r="6" ht="15.5" customHeight="1" s="40">
      <c r="A6" s="48" t="n"/>
      <c r="B6" s="27" t="n"/>
      <c r="C6" s="4" t="n"/>
      <c r="D6" s="4" t="n"/>
      <c r="E6" s="4" t="n"/>
      <c r="F6" s="21">
        <f>IFERROR(E6*D6, 0)</f>
        <v/>
      </c>
      <c r="G6" s="65" t="n"/>
      <c r="H6" s="4" t="n"/>
      <c r="I6" s="4" t="n"/>
      <c r="J6" s="4" t="n"/>
      <c r="K6" s="4" t="n"/>
      <c r="L6" s="4" t="n"/>
      <c r="M6" s="4">
        <f>IFERROR(+L6*K6, 0)</f>
        <v/>
      </c>
      <c r="S6" t="inlineStr">
        <is>
          <t>quimico</t>
        </is>
      </c>
      <c r="T6" t="inlineStr">
        <is>
          <t>quimico</t>
        </is>
      </c>
    </row>
    <row r="7" ht="15.5" customHeight="1" s="40">
      <c r="A7" s="48" t="n"/>
      <c r="B7" s="26" t="n"/>
      <c r="C7" s="4" t="n"/>
      <c r="D7" s="4" t="n"/>
      <c r="E7" s="4" t="n"/>
      <c r="F7" s="21">
        <f>IFERROR(E7*D7, 0)</f>
        <v/>
      </c>
      <c r="G7" s="65" t="n"/>
      <c r="H7" s="4" t="n"/>
      <c r="I7" s="4" t="n"/>
      <c r="J7" s="4" t="n"/>
      <c r="K7" s="4" t="n"/>
      <c r="L7" s="4" t="n"/>
      <c r="M7" s="4">
        <f>IFERROR(+L7*K7, 0)</f>
        <v/>
      </c>
    </row>
    <row r="8" ht="15.5" customHeight="1" s="40">
      <c r="A8" s="48" t="n"/>
      <c r="B8" s="4" t="n"/>
      <c r="C8" s="4" t="n"/>
      <c r="D8" s="4" t="n"/>
      <c r="E8" s="4" t="n"/>
      <c r="F8" s="21">
        <f>IFERROR(E8*D8, 0)</f>
        <v/>
      </c>
      <c r="G8" s="65" t="n"/>
      <c r="H8" s="4" t="n"/>
      <c r="I8" s="4" t="n"/>
      <c r="J8" s="4" t="n"/>
      <c r="K8" s="4" t="n"/>
      <c r="L8" s="4" t="n"/>
      <c r="M8" s="4">
        <f>IFERROR(+L8*K8, 0)</f>
        <v/>
      </c>
    </row>
    <row r="9" ht="15.5" customHeight="1" s="40">
      <c r="A9" s="48" t="n"/>
      <c r="B9" s="4" t="n"/>
      <c r="C9" s="4" t="n"/>
      <c r="D9" s="4" t="n"/>
      <c r="E9" s="4" t="n"/>
      <c r="F9" s="21">
        <f>IFERROR(E9*D9, 0)</f>
        <v/>
      </c>
      <c r="G9" s="65" t="n"/>
      <c r="H9" s="4" t="n"/>
      <c r="I9" s="4" t="n"/>
      <c r="J9" s="4" t="n"/>
      <c r="K9" s="4" t="n"/>
      <c r="L9" s="4" t="n"/>
      <c r="M9" s="4">
        <f>IFERROR(+L9*K9, 0)</f>
        <v/>
      </c>
    </row>
    <row r="10" ht="15.5" customHeight="1" s="40">
      <c r="A10" s="48" t="n"/>
      <c r="B10" s="4" t="n"/>
      <c r="C10" s="4" t="n"/>
      <c r="D10" s="4" t="n"/>
      <c r="E10" s="4" t="n"/>
      <c r="F10" s="21">
        <f>IFERROR(E10*D10, 0)</f>
        <v/>
      </c>
      <c r="H10" s="4" t="n"/>
      <c r="I10" s="4" t="n"/>
      <c r="J10" s="4" t="n"/>
      <c r="K10" s="4" t="n"/>
      <c r="L10" s="4" t="n"/>
      <c r="M10" s="4">
        <f>IFERROR(+L10*K10, 0)</f>
        <v/>
      </c>
    </row>
    <row r="11" ht="15.5" customHeight="1" s="40">
      <c r="A11" s="48" t="n"/>
      <c r="B11" s="26" t="n"/>
      <c r="C11" s="4" t="n"/>
      <c r="D11" s="4" t="n"/>
      <c r="E11" s="4" t="n"/>
      <c r="F11" s="21">
        <f>IFERROR(E11*D11, 0)</f>
        <v/>
      </c>
      <c r="H11" s="4" t="n"/>
      <c r="I11" s="4" t="n"/>
      <c r="J11" s="4" t="n"/>
      <c r="K11" s="4" t="n"/>
      <c r="L11" s="4" t="n"/>
      <c r="M11" s="4">
        <f>IFERROR(+L11*K11, 0)</f>
        <v/>
      </c>
    </row>
    <row r="12" ht="15.5" customHeight="1" s="40">
      <c r="A12" s="48" t="n"/>
      <c r="B12" s="4" t="n"/>
      <c r="C12" s="4" t="n"/>
      <c r="D12" s="4" t="n"/>
      <c r="E12" s="4" t="n"/>
      <c r="F12" s="21">
        <f>IFERROR(E12*D12, 0)</f>
        <v/>
      </c>
      <c r="H12" s="4" t="n"/>
      <c r="I12" s="4" t="n"/>
      <c r="J12" s="4" t="n"/>
      <c r="K12" s="4" t="n"/>
      <c r="L12" s="4" t="n"/>
      <c r="M12" s="4">
        <f>IFERROR(+L12*K12, 0)</f>
        <v/>
      </c>
    </row>
    <row r="13" ht="15.5" customHeight="1" s="40">
      <c r="A13" s="48" t="n"/>
      <c r="B13" s="4" t="n"/>
      <c r="C13" s="4" t="n"/>
      <c r="D13" s="31" t="n"/>
      <c r="E13" s="4" t="n"/>
      <c r="F13" s="21">
        <f>IFERROR(E13*D13, 0)</f>
        <v/>
      </c>
      <c r="H13" s="4" t="n"/>
      <c r="I13" s="4" t="n"/>
      <c r="J13" s="4" t="n"/>
      <c r="K13" s="4" t="n"/>
      <c r="L13" s="4" t="n"/>
      <c r="M13" s="4">
        <f>IFERROR(+L13*K13, 0)</f>
        <v/>
      </c>
    </row>
    <row r="14" ht="15.5" customHeight="1" s="40">
      <c r="A14" s="48" t="n"/>
      <c r="B14" s="4" t="n"/>
      <c r="C14" s="4" t="n"/>
      <c r="D14" s="4" t="n"/>
      <c r="E14" s="4" t="n"/>
      <c r="F14" s="21">
        <f>IFERROR(E14*D14, 0)</f>
        <v/>
      </c>
      <c r="H14" s="4" t="n"/>
      <c r="I14" s="4" t="n"/>
      <c r="J14" s="4" t="n"/>
      <c r="K14" s="4" t="n"/>
      <c r="L14" s="4" t="n"/>
      <c r="M14" s="4">
        <f>IFERROR(+L14*K14, 0)</f>
        <v/>
      </c>
    </row>
    <row r="15" ht="15.5" customHeight="1" s="40">
      <c r="A15" s="48" t="n"/>
      <c r="B15" s="4" t="n"/>
      <c r="C15" s="4" t="n"/>
      <c r="D15" s="4" t="n"/>
      <c r="E15" s="4" t="n"/>
      <c r="F15" s="21">
        <f>IFERROR(E15*D15, 0)</f>
        <v/>
      </c>
      <c r="H15" s="4" t="n"/>
      <c r="I15" s="4" t="n"/>
      <c r="J15" s="4" t="n"/>
      <c r="K15" s="4" t="n"/>
      <c r="L15" s="4" t="n"/>
      <c r="M15" s="4">
        <f>IFERROR(+L15*K15, 0)</f>
        <v/>
      </c>
    </row>
    <row r="16" ht="15.5" customHeight="1" s="40">
      <c r="A16" s="48" t="n"/>
      <c r="B16" s="4" t="n"/>
      <c r="C16" s="4" t="n"/>
      <c r="D16" s="4" t="n"/>
      <c r="E16" s="4" t="n"/>
      <c r="F16" s="21">
        <f>IFERROR(E16*D16, 0)</f>
        <v/>
      </c>
      <c r="H16" s="4" t="n"/>
      <c r="I16" s="4" t="n"/>
      <c r="J16" s="4" t="n"/>
      <c r="K16" s="4" t="n"/>
      <c r="L16" s="4" t="n"/>
      <c r="M16" s="4">
        <f>IFERROR(+L16*K16, 0)</f>
        <v/>
      </c>
    </row>
    <row r="17" ht="15.5" customHeight="1" s="40">
      <c r="A17" s="48" t="n"/>
      <c r="B17" s="4" t="n"/>
      <c r="C17" s="4" t="n"/>
      <c r="D17" s="4" t="n"/>
      <c r="E17" s="4" t="n"/>
      <c r="F17" s="21">
        <f>IFERROR(E17*D17, 0)</f>
        <v/>
      </c>
      <c r="H17" s="4" t="n"/>
      <c r="I17" s="4" t="n"/>
      <c r="J17" s="4" t="n"/>
      <c r="K17" s="4" t="n"/>
      <c r="L17" s="4" t="n"/>
      <c r="M17" s="4">
        <f>IFERROR(+L17*K17, 0)</f>
        <v/>
      </c>
    </row>
    <row r="18" ht="15.5" customHeight="1" s="40">
      <c r="A18" s="48" t="n"/>
      <c r="B18" s="4" t="n"/>
      <c r="C18" s="4" t="n"/>
      <c r="D18" s="4" t="n"/>
      <c r="E18" s="4" t="n"/>
      <c r="F18" s="21">
        <f>IFERROR(E18*D18, 0)</f>
        <v/>
      </c>
      <c r="H18" s="4" t="n"/>
      <c r="I18" s="4" t="n"/>
      <c r="J18" s="4" t="n"/>
      <c r="K18" s="4" t="n"/>
      <c r="L18" s="4" t="n"/>
      <c r="M18" s="4">
        <f>IFERROR(+L18*K18, 0)</f>
        <v/>
      </c>
    </row>
    <row r="19" ht="15.5" customHeight="1" s="40">
      <c r="A19" s="48" t="n"/>
      <c r="B19" s="4" t="n"/>
      <c r="C19" s="4" t="n"/>
      <c r="D19" s="4" t="n"/>
      <c r="E19" s="4" t="n"/>
      <c r="F19" s="21">
        <f>IFERROR(E19*D19, 0)</f>
        <v/>
      </c>
      <c r="H19" s="4" t="n"/>
      <c r="I19" s="4" t="n"/>
      <c r="J19" s="4" t="n"/>
      <c r="K19" s="4" t="n"/>
      <c r="L19" s="4" t="n"/>
      <c r="M19" s="4">
        <f>IFERROR(+L19*K19, 0)</f>
        <v/>
      </c>
    </row>
    <row r="20" ht="15.5" customHeight="1" s="40">
      <c r="B20" s="5" t="n"/>
      <c r="C20" s="5" t="n"/>
      <c r="D20" s="5" t="n"/>
      <c r="E20" s="6" t="inlineStr">
        <is>
          <t>Total</t>
        </is>
      </c>
      <c r="F20" s="23">
        <f>+SUM(F3:F19)</f>
        <v/>
      </c>
      <c r="H20" s="5" t="n"/>
      <c r="I20" s="5" t="n"/>
      <c r="J20" s="5" t="n"/>
      <c r="K20" s="5" t="n"/>
      <c r="L20" s="10" t="inlineStr">
        <is>
          <t>Total</t>
        </is>
      </c>
      <c r="M20" s="7">
        <f>+SUM(M3:M19)</f>
        <v/>
      </c>
    </row>
  </sheetData>
  <mergeCells count="3">
    <mergeCell ref="H1:M1"/>
    <mergeCell ref="A1:F1"/>
    <mergeCell ref="G2:G9"/>
  </mergeCells>
  <dataValidations count="2">
    <dataValidation sqref="C3:C19" showDropDown="0" showInputMessage="1" showErrorMessage="1" allowBlank="1" type="list">
      <formula1>$S$3:$S$6</formula1>
    </dataValidation>
    <dataValidation sqref="I3:I8" showDropDown="0" showInputMessage="1" showErrorMessage="1" allowBlank="1" type="list">
      <formula1>$T$3:$T$6</formula1>
    </dataValidation>
  </dataValidations>
  <hyperlinks>
    <hyperlink xmlns:r="http://schemas.openxmlformats.org/officeDocument/2006/relationships" ref="G2" location="INICIO!A1" r:id="rId1"/>
  </hyperlinks>
  <pageMargins left="0.7" right="0.7" top="0.75" bottom="0.75" header="0.3" footer="0.3"/>
  <pageSetup orientation="portrait" paperSize="9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J3" sqref="J3"/>
    </sheetView>
  </sheetViews>
  <sheetFormatPr baseColWidth="10" defaultRowHeight="14.5"/>
  <cols>
    <col width="14.81640625" customWidth="1" style="40" min="3" max="3"/>
    <col width="13" customWidth="1" style="40" min="6" max="6"/>
    <col width="17.7265625" customWidth="1" style="40" min="9" max="9"/>
    <col width="13.81640625" customWidth="1" style="40" min="12" max="12"/>
  </cols>
  <sheetData>
    <row r="1" ht="15.5" customHeight="1" s="40">
      <c r="A1" s="56" t="inlineStr">
        <is>
          <t>MANO DE OBRA</t>
        </is>
      </c>
      <c r="H1" s="55" t="inlineStr">
        <is>
          <t>INSUMOS</t>
        </is>
      </c>
      <c r="I1" s="62" t="n"/>
      <c r="J1" s="62" t="n"/>
      <c r="K1" s="62" t="n"/>
      <c r="L1" s="62" t="n"/>
    </row>
    <row r="2" ht="46.5" customHeight="1" s="40">
      <c r="A2" s="1" t="inlineStr">
        <is>
          <t>ID LOTES</t>
        </is>
      </c>
      <c r="B2" s="1" t="inlineStr">
        <is>
          <t>Fecha</t>
        </is>
      </c>
      <c r="C2" s="8" t="inlineStr">
        <is>
          <t>Labor realizada</t>
        </is>
      </c>
      <c r="D2" s="3" t="inlineStr">
        <is>
          <t>Número de jornales</t>
        </is>
      </c>
      <c r="E2" s="8" t="inlineStr">
        <is>
          <t>Valor unitario</t>
        </is>
      </c>
      <c r="F2" s="1" t="inlineStr">
        <is>
          <t>Valor total</t>
        </is>
      </c>
      <c r="G2" s="59" t="inlineStr">
        <is>
          <t>INICIO</t>
        </is>
      </c>
      <c r="H2" s="1" t="inlineStr">
        <is>
          <t>Fecha</t>
        </is>
      </c>
      <c r="I2" s="8" t="inlineStr">
        <is>
          <t>Producto</t>
        </is>
      </c>
      <c r="J2" s="9" t="inlineStr">
        <is>
          <t>Cantidad</t>
        </is>
      </c>
      <c r="K2" s="8" t="inlineStr">
        <is>
          <t>Valor unitario</t>
        </is>
      </c>
      <c r="L2" s="1" t="inlineStr">
        <is>
          <t>Valor Total</t>
        </is>
      </c>
    </row>
    <row r="3" ht="15.5" customHeight="1" s="40">
      <c r="A3" s="39" t="n"/>
      <c r="B3" s="4" t="n"/>
      <c r="C3" s="4" t="n"/>
      <c r="D3" s="4" t="n"/>
      <c r="E3" s="4" t="n"/>
      <c r="F3" s="4">
        <f>+E3*D3</f>
        <v/>
      </c>
      <c r="G3" s="65" t="n"/>
      <c r="H3" s="4" t="n"/>
      <c r="I3" s="4" t="n"/>
      <c r="J3" s="4" t="n"/>
      <c r="K3" s="4" t="n"/>
      <c r="L3" s="4">
        <f>IFERROR(+K3*J3, 0)</f>
        <v/>
      </c>
    </row>
    <row r="4" ht="15.5" customHeight="1" s="40">
      <c r="A4" s="39" t="n"/>
      <c r="B4" s="4" t="n"/>
      <c r="C4" s="4" t="n"/>
      <c r="D4" s="4" t="n"/>
      <c r="E4" s="4" t="n"/>
      <c r="F4" s="4">
        <f>+E4*D4</f>
        <v/>
      </c>
      <c r="G4" s="65" t="n"/>
      <c r="H4" s="4" t="n"/>
      <c r="I4" s="4" t="n"/>
      <c r="J4" s="4" t="n"/>
      <c r="K4" s="4" t="n"/>
      <c r="L4" s="4">
        <f>IFERROR(+K4*J4, 0)</f>
        <v/>
      </c>
    </row>
    <row r="5" ht="15.5" customHeight="1" s="40">
      <c r="A5" s="39" t="n"/>
      <c r="B5" s="4" t="n"/>
      <c r="C5" s="4" t="n"/>
      <c r="D5" s="4" t="n"/>
      <c r="E5" s="4" t="n"/>
      <c r="F5" s="4">
        <f>+E5*D5</f>
        <v/>
      </c>
      <c r="G5" s="65" t="n"/>
      <c r="H5" s="4" t="n"/>
      <c r="I5" s="4" t="n"/>
      <c r="J5" s="4" t="n"/>
      <c r="K5" s="4" t="n"/>
      <c r="L5" s="4">
        <f>IFERROR(+K5*J5, 0)</f>
        <v/>
      </c>
    </row>
    <row r="6" ht="15.5" customHeight="1" s="40">
      <c r="A6" s="39" t="n"/>
      <c r="B6" s="4" t="n"/>
      <c r="C6" s="4" t="n"/>
      <c r="D6" s="4" t="n"/>
      <c r="E6" s="4" t="n"/>
      <c r="F6" s="4">
        <f>+E6*D6</f>
        <v/>
      </c>
      <c r="G6" s="65" t="n"/>
      <c r="H6" s="4" t="n"/>
      <c r="I6" s="4" t="n"/>
      <c r="J6" s="4" t="n"/>
      <c r="K6" s="4" t="n"/>
      <c r="L6" s="4">
        <f>IFERROR(+K6*J6, 0)</f>
        <v/>
      </c>
    </row>
    <row r="7" ht="15.5" customHeight="1" s="40">
      <c r="A7" s="39" t="n"/>
      <c r="B7" s="4" t="n"/>
      <c r="C7" s="4" t="n"/>
      <c r="D7" s="4" t="n"/>
      <c r="E7" s="4" t="n"/>
      <c r="F7" s="4">
        <f>+E7*D7</f>
        <v/>
      </c>
      <c r="G7" s="65" t="n"/>
      <c r="H7" s="4" t="n"/>
      <c r="I7" s="4" t="n"/>
      <c r="J7" s="4" t="n"/>
      <c r="K7" s="4" t="n"/>
      <c r="L7" s="4">
        <f>IFERROR(+K7*J7, 0)</f>
        <v/>
      </c>
    </row>
    <row r="8" ht="15.5" customHeight="1" s="40">
      <c r="A8" s="39" t="n"/>
      <c r="B8" s="4" t="n"/>
      <c r="C8" s="4" t="n"/>
      <c r="D8" s="4" t="n"/>
      <c r="E8" s="4" t="n"/>
      <c r="F8" s="4">
        <f>+E8*D8</f>
        <v/>
      </c>
      <c r="G8" s="65" t="n"/>
      <c r="H8" s="4" t="n"/>
      <c r="I8" s="4" t="n"/>
      <c r="J8" s="4" t="n"/>
      <c r="K8" s="4" t="n"/>
      <c r="L8" s="4">
        <f>IFERROR(+K8*J8, 0)</f>
        <v/>
      </c>
    </row>
    <row r="9" ht="15.5" customHeight="1" s="40">
      <c r="A9" s="39" t="n"/>
      <c r="B9" s="4" t="n"/>
      <c r="C9" s="4" t="n"/>
      <c r="D9" s="4" t="n"/>
      <c r="E9" s="4" t="n"/>
      <c r="F9" s="4">
        <f>+E9*D9</f>
        <v/>
      </c>
      <c r="G9" s="65" t="n"/>
      <c r="H9" s="4" t="n"/>
      <c r="I9" s="4" t="n"/>
      <c r="J9" s="4" t="n"/>
      <c r="K9" s="4" t="n"/>
      <c r="L9" s="4">
        <f>IFERROR(+K9*J9, 0)</f>
        <v/>
      </c>
    </row>
    <row r="10" ht="15.5" customHeight="1" s="40">
      <c r="A10" s="39" t="n"/>
      <c r="B10" s="4" t="n"/>
      <c r="C10" s="4" t="n"/>
      <c r="D10" s="4" t="n"/>
      <c r="E10" s="4" t="n"/>
      <c r="F10" s="4">
        <f>+E10*D10</f>
        <v/>
      </c>
      <c r="G10" s="65" t="n"/>
      <c r="H10" s="4" t="n"/>
      <c r="I10" s="4" t="n"/>
      <c r="J10" s="4" t="n"/>
      <c r="K10" s="4" t="n"/>
      <c r="L10" s="4">
        <f>IFERROR(+K10*J10, 0)</f>
        <v/>
      </c>
    </row>
    <row r="11" ht="15.5" customHeight="1" s="40">
      <c r="A11" s="39" t="n"/>
      <c r="B11" s="4" t="n"/>
      <c r="C11" s="4" t="n"/>
      <c r="D11" s="4" t="n"/>
      <c r="E11" s="4" t="n"/>
      <c r="F11" s="4">
        <f>+E11*D11</f>
        <v/>
      </c>
      <c r="H11" s="4" t="n"/>
      <c r="I11" s="4" t="n"/>
      <c r="J11" s="4" t="n"/>
      <c r="K11" s="4" t="n"/>
      <c r="L11" s="4">
        <f>IFERROR(+K11*J11, 0)</f>
        <v/>
      </c>
    </row>
    <row r="12" ht="15.5" customHeight="1" s="40">
      <c r="A12" s="39" t="n"/>
      <c r="B12" s="4" t="n"/>
      <c r="C12" s="4" t="n"/>
      <c r="D12" s="4" t="n"/>
      <c r="E12" s="4" t="n"/>
      <c r="F12" s="4">
        <f>+E12*D12</f>
        <v/>
      </c>
      <c r="H12" s="4" t="n"/>
      <c r="I12" s="4" t="n"/>
      <c r="J12" s="4" t="n"/>
      <c r="K12" s="4" t="n"/>
      <c r="L12" s="4">
        <f>IFERROR(+K12*J12, 0)</f>
        <v/>
      </c>
    </row>
    <row r="13" ht="15.5" customHeight="1" s="40">
      <c r="A13" s="39" t="n"/>
      <c r="B13" s="4" t="n"/>
      <c r="C13" s="4" t="n"/>
      <c r="D13" s="4" t="n"/>
      <c r="E13" s="4" t="n"/>
      <c r="F13" s="4">
        <f>+E13*D13</f>
        <v/>
      </c>
      <c r="H13" s="4" t="n"/>
      <c r="I13" s="4" t="n"/>
      <c r="J13" s="4" t="n"/>
      <c r="K13" s="4" t="n"/>
      <c r="L13" s="4">
        <f>IFERROR(+K13*J13, 0)</f>
        <v/>
      </c>
    </row>
    <row r="14" ht="15.5" customHeight="1" s="40">
      <c r="A14" s="39" t="n"/>
      <c r="B14" s="4" t="n"/>
      <c r="C14" s="4" t="n"/>
      <c r="D14" s="4" t="n"/>
      <c r="E14" s="4" t="n"/>
      <c r="F14" s="4">
        <f>+E14*D14</f>
        <v/>
      </c>
      <c r="H14" s="4" t="n"/>
      <c r="I14" s="4" t="n"/>
      <c r="J14" s="4" t="n"/>
      <c r="K14" s="4" t="n"/>
      <c r="L14" s="4">
        <f>IFERROR(+K14*J14, 0)</f>
        <v/>
      </c>
    </row>
    <row r="15" ht="15.5" customHeight="1" s="40">
      <c r="A15" s="39" t="n"/>
      <c r="B15" s="4" t="n"/>
      <c r="C15" s="4" t="n"/>
      <c r="D15" s="4" t="n"/>
      <c r="E15" s="4" t="n"/>
      <c r="F15" s="4">
        <f>+E15*D15</f>
        <v/>
      </c>
      <c r="H15" s="4" t="n"/>
      <c r="I15" s="4" t="n"/>
      <c r="J15" s="4" t="n"/>
      <c r="K15" s="4" t="n"/>
      <c r="L15" s="4">
        <f>IFERROR(+K15*J15, 0)</f>
        <v/>
      </c>
    </row>
    <row r="16" ht="15.5" customHeight="1" s="40">
      <c r="A16" s="39" t="n"/>
      <c r="B16" s="4" t="n"/>
      <c r="C16" s="4" t="n"/>
      <c r="D16" s="4" t="n"/>
      <c r="E16" s="4" t="n"/>
      <c r="F16" s="4">
        <f>+E16*D16</f>
        <v/>
      </c>
      <c r="H16" s="4" t="n"/>
      <c r="I16" s="4" t="n"/>
      <c r="J16" s="4" t="n"/>
      <c r="K16" s="4" t="n"/>
      <c r="L16" s="4">
        <f>IFERROR(+K16*J16, 0)</f>
        <v/>
      </c>
    </row>
    <row r="17" ht="15.5" customHeight="1" s="40">
      <c r="A17" s="39" t="n"/>
      <c r="B17" s="4" t="n"/>
      <c r="C17" s="4" t="n"/>
      <c r="D17" s="4" t="n"/>
      <c r="E17" s="4" t="n"/>
      <c r="F17" s="4">
        <f>+E17*D17</f>
        <v/>
      </c>
      <c r="H17" s="4" t="n"/>
      <c r="I17" s="4" t="n"/>
      <c r="J17" s="4" t="n"/>
      <c r="K17" s="4" t="n"/>
      <c r="L17" s="4">
        <f>IFERROR(+K17*J17, 0)</f>
        <v/>
      </c>
    </row>
    <row r="18" ht="15.5" customHeight="1" s="40">
      <c r="A18" s="39" t="n"/>
      <c r="B18" s="4" t="n"/>
      <c r="C18" s="4" t="n"/>
      <c r="D18" s="4" t="n"/>
      <c r="E18" s="4" t="n"/>
      <c r="F18" s="4">
        <f>+E18*D18</f>
        <v/>
      </c>
      <c r="H18" s="4" t="n"/>
      <c r="I18" s="4" t="n"/>
      <c r="J18" s="4" t="n"/>
      <c r="K18" s="4" t="n"/>
      <c r="L18" s="4">
        <f>IFERROR(+K18*J18, 0)</f>
        <v/>
      </c>
    </row>
    <row r="19" ht="15.5" customHeight="1" s="40">
      <c r="A19" s="39" t="n"/>
      <c r="B19" s="4" t="n"/>
      <c r="C19" s="4" t="n"/>
      <c r="D19" s="4" t="n"/>
      <c r="E19" s="4" t="n"/>
      <c r="F19" s="4">
        <f>+E19*D19</f>
        <v/>
      </c>
      <c r="H19" s="4" t="n"/>
      <c r="I19" s="4" t="n"/>
      <c r="J19" s="4" t="n"/>
      <c r="K19" s="4" t="n"/>
      <c r="L19" s="4">
        <f>IFERROR(+K19*J19, 0)</f>
        <v/>
      </c>
    </row>
    <row r="20" ht="15.5" customHeight="1" s="40">
      <c r="B20" s="5" t="n"/>
      <c r="C20" s="5" t="n"/>
      <c r="D20" s="5" t="n"/>
      <c r="E20" s="6" t="inlineStr">
        <is>
          <t>Total</t>
        </is>
      </c>
      <c r="F20" s="7">
        <f>+SUM(F3:F19)</f>
        <v/>
      </c>
      <c r="H20" s="5" t="n"/>
      <c r="I20" s="5" t="n"/>
      <c r="J20" s="5" t="n"/>
      <c r="K20" s="10" t="inlineStr">
        <is>
          <t>Total</t>
        </is>
      </c>
      <c r="L20" s="7">
        <f>+SUM(L3:L19)</f>
        <v/>
      </c>
    </row>
  </sheetData>
  <mergeCells count="3">
    <mergeCell ref="H1:L1"/>
    <mergeCell ref="A1:F1"/>
    <mergeCell ref="G2:G10"/>
  </mergeCells>
  <hyperlinks>
    <hyperlink xmlns:r="http://schemas.openxmlformats.org/officeDocument/2006/relationships" ref="G2" location="INICIO!A1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L3" sqref="L3"/>
    </sheetView>
  </sheetViews>
  <sheetFormatPr baseColWidth="10" defaultRowHeight="14.5"/>
  <cols>
    <col width="14" customWidth="1" style="40" min="13" max="13"/>
  </cols>
  <sheetData>
    <row r="1" ht="15.5" customHeight="1" s="40">
      <c r="A1" s="56" t="inlineStr">
        <is>
          <t>MANO DE OBRA</t>
        </is>
      </c>
      <c r="H1" s="55" t="inlineStr">
        <is>
          <t>INSUMOS</t>
        </is>
      </c>
      <c r="I1" s="62" t="n"/>
      <c r="J1" s="62" t="n"/>
      <c r="K1" s="62" t="n"/>
      <c r="L1" s="62" t="n"/>
      <c r="M1" s="62" t="n"/>
    </row>
    <row r="2" ht="46.5" customHeight="1" s="40">
      <c r="A2" s="1" t="inlineStr">
        <is>
          <t>ID LOTES</t>
        </is>
      </c>
      <c r="B2" s="1" t="inlineStr">
        <is>
          <t>Fecha</t>
        </is>
      </c>
      <c r="C2" s="8" t="inlineStr">
        <is>
          <t>Labor realizada</t>
        </is>
      </c>
      <c r="D2" s="3" t="inlineStr">
        <is>
          <t>Número de jornales</t>
        </is>
      </c>
      <c r="E2" s="8" t="inlineStr">
        <is>
          <t>Valor Unitario</t>
        </is>
      </c>
      <c r="F2" s="1" t="inlineStr">
        <is>
          <t>Valor Total</t>
        </is>
      </c>
      <c r="G2" s="59" t="inlineStr">
        <is>
          <t>INICIO</t>
        </is>
      </c>
      <c r="H2" s="1" t="inlineStr">
        <is>
          <t>Fecha</t>
        </is>
      </c>
      <c r="I2" s="8" t="inlineStr">
        <is>
          <t>Labor realizada</t>
        </is>
      </c>
      <c r="J2" s="8" t="inlineStr">
        <is>
          <t>Producto</t>
        </is>
      </c>
      <c r="K2" s="9" t="inlineStr">
        <is>
          <t>Cantidad</t>
        </is>
      </c>
      <c r="L2" s="8" t="inlineStr">
        <is>
          <t>Valor unitario</t>
        </is>
      </c>
      <c r="M2" s="1" t="inlineStr">
        <is>
          <t>Valor Total</t>
        </is>
      </c>
    </row>
    <row r="3" ht="15.5" customHeight="1" s="40">
      <c r="A3" s="12" t="n"/>
      <c r="B3" s="4" t="n"/>
      <c r="C3" s="4" t="n"/>
      <c r="D3" s="4" t="n"/>
      <c r="E3" s="4" t="n"/>
      <c r="F3" s="4">
        <f>IFERROR(E3*D3, 0)</f>
        <v/>
      </c>
      <c r="G3" s="65" t="n"/>
      <c r="H3" s="4" t="n"/>
      <c r="I3" s="4" t="n"/>
      <c r="J3" s="4" t="n"/>
      <c r="K3" s="4" t="n"/>
      <c r="L3" s="4" t="n"/>
      <c r="M3" s="4">
        <f>IFERROR(+L3*K3, 0)</f>
        <v/>
      </c>
      <c r="U3" t="inlineStr">
        <is>
          <t>biologico</t>
        </is>
      </c>
    </row>
    <row r="4" ht="15.5" customHeight="1" s="40">
      <c r="A4" s="12" t="n"/>
      <c r="B4" s="4" t="n"/>
      <c r="C4" s="4" t="n"/>
      <c r="D4" s="4" t="n"/>
      <c r="E4" s="4" t="n"/>
      <c r="F4" s="4">
        <f>IFERROR(E4*D4, 0)</f>
        <v/>
      </c>
      <c r="G4" s="65" t="n"/>
      <c r="H4" s="4" t="n"/>
      <c r="I4" s="4" t="n"/>
      <c r="J4" s="4" t="n"/>
      <c r="K4" s="4" t="n"/>
      <c r="L4" s="4" t="n"/>
      <c r="M4" s="4">
        <f>IFERROR(+L4*K4, 0)</f>
        <v/>
      </c>
      <c r="U4" t="inlineStr">
        <is>
          <t>quimico</t>
        </is>
      </c>
    </row>
    <row r="5" ht="15.5" customHeight="1" s="40">
      <c r="A5" s="12" t="n"/>
      <c r="B5" s="4" t="n"/>
      <c r="C5" s="4" t="n"/>
      <c r="D5" s="4" t="n"/>
      <c r="E5" s="4" t="n"/>
      <c r="F5" s="4">
        <f>IFERROR(E5*D5, 0)</f>
        <v/>
      </c>
      <c r="G5" s="65" t="n"/>
      <c r="H5" s="4" t="n"/>
      <c r="I5" s="4" t="n"/>
      <c r="J5" s="4" t="n"/>
      <c r="K5" s="4" t="n"/>
      <c r="L5" s="4" t="n"/>
      <c r="M5" s="4">
        <f>IFERROR(+L5*K5, 0)</f>
        <v/>
      </c>
      <c r="U5" t="inlineStr">
        <is>
          <t>roya</t>
        </is>
      </c>
    </row>
    <row r="6" ht="15.5" customHeight="1" s="40">
      <c r="A6" s="12" t="n"/>
      <c r="B6" s="4" t="n"/>
      <c r="C6" s="4" t="n"/>
      <c r="D6" s="4" t="n"/>
      <c r="E6" s="4" t="n"/>
      <c r="F6" s="4">
        <f>IFERROR(E6*D6, 0)</f>
        <v/>
      </c>
      <c r="G6" s="65" t="n"/>
      <c r="H6" s="4" t="n"/>
      <c r="I6" s="4" t="n"/>
      <c r="J6" s="4" t="n"/>
      <c r="K6" s="4" t="n"/>
      <c r="L6" s="4" t="n"/>
      <c r="M6" s="4">
        <f>IFERROR(+L6*K6, 0)</f>
        <v/>
      </c>
      <c r="U6" t="inlineStr">
        <is>
          <t>otras plagas y/o enfermedades</t>
        </is>
      </c>
    </row>
    <row r="7" ht="15.5" customHeight="1" s="40">
      <c r="A7" s="12" t="n"/>
      <c r="B7" s="4" t="n"/>
      <c r="C7" s="4" t="n"/>
      <c r="D7" s="4" t="n"/>
      <c r="E7" s="4" t="n"/>
      <c r="F7" s="4">
        <f>IFERROR(E7*D7, 0)</f>
        <v/>
      </c>
      <c r="G7" s="65" t="n"/>
      <c r="H7" s="4" t="n"/>
      <c r="I7" s="4" t="n"/>
      <c r="J7" s="4" t="n"/>
      <c r="K7" s="4" t="n"/>
      <c r="L7" s="4" t="n"/>
      <c r="M7" s="4">
        <f>IFERROR(+L7*K7, 0)</f>
        <v/>
      </c>
    </row>
    <row r="8" ht="15.5" customHeight="1" s="40">
      <c r="A8" s="12" t="n"/>
      <c r="B8" s="4" t="n"/>
      <c r="C8" s="4" t="n"/>
      <c r="D8" s="4" t="n"/>
      <c r="E8" s="4" t="n"/>
      <c r="F8" s="4">
        <f>IFERROR(E8*D8, 0)</f>
        <v/>
      </c>
      <c r="G8" s="65" t="n"/>
      <c r="H8" s="4" t="n"/>
      <c r="I8" s="4" t="n"/>
      <c r="J8" s="4" t="n"/>
      <c r="K8" s="4" t="n"/>
      <c r="L8" s="4" t="n"/>
      <c r="M8" s="4">
        <f>IFERROR(+L8*K8, 0)</f>
        <v/>
      </c>
    </row>
    <row r="9" ht="15.5" customHeight="1" s="40">
      <c r="A9" s="12" t="n"/>
      <c r="B9" s="4" t="n"/>
      <c r="C9" s="4" t="n"/>
      <c r="D9" s="4" t="n"/>
      <c r="E9" s="4" t="n"/>
      <c r="F9" s="4">
        <f>IFERROR(E9*D9, 0)</f>
        <v/>
      </c>
      <c r="G9" s="65" t="n"/>
      <c r="H9" s="4" t="n"/>
      <c r="I9" s="4" t="n"/>
      <c r="J9" s="4" t="n"/>
      <c r="K9" s="4" t="n"/>
      <c r="L9" s="4" t="n"/>
      <c r="M9" s="4">
        <f>IFERROR(+L9*K9, 0)</f>
        <v/>
      </c>
    </row>
    <row r="10" ht="15.5" customHeight="1" s="40">
      <c r="A10" s="12" t="n"/>
      <c r="B10" s="4" t="n"/>
      <c r="C10" s="4" t="n"/>
      <c r="D10" s="4" t="n"/>
      <c r="E10" s="4" t="n"/>
      <c r="F10" s="4">
        <f>IFERROR(E10*D10, 0)</f>
        <v/>
      </c>
      <c r="G10" s="65" t="n"/>
      <c r="H10" s="4" t="n"/>
      <c r="I10" s="4" t="n"/>
      <c r="J10" s="4" t="n"/>
      <c r="K10" s="4" t="n"/>
      <c r="L10" s="4" t="n"/>
      <c r="M10" s="4">
        <f>IFERROR(+L10*K10, 0)</f>
        <v/>
      </c>
    </row>
    <row r="11" ht="15.5" customHeight="1" s="40">
      <c r="A11" s="12" t="n"/>
      <c r="B11" s="4" t="n"/>
      <c r="C11" s="4" t="n"/>
      <c r="D11" s="4" t="n"/>
      <c r="E11" s="4" t="n"/>
      <c r="F11" s="4">
        <f>IFERROR(E11*D11, 0)</f>
        <v/>
      </c>
      <c r="H11" s="4" t="n"/>
      <c r="I11" s="4" t="n"/>
      <c r="J11" s="4" t="n"/>
      <c r="K11" s="4" t="n"/>
      <c r="L11" s="4" t="n"/>
      <c r="M11" s="4">
        <f>IFERROR(+L11*K11, 0)</f>
        <v/>
      </c>
    </row>
    <row r="12" ht="15.5" customHeight="1" s="40">
      <c r="A12" s="12" t="n"/>
      <c r="B12" s="4" t="n"/>
      <c r="C12" s="4" t="n"/>
      <c r="D12" s="4" t="n"/>
      <c r="E12" s="4" t="n"/>
      <c r="F12" s="4">
        <f>IFERROR(E12*D12, 0)</f>
        <v/>
      </c>
      <c r="H12" s="4" t="n"/>
      <c r="I12" s="4" t="n"/>
      <c r="J12" s="4" t="n"/>
      <c r="K12" s="4" t="n"/>
      <c r="L12" s="4" t="n"/>
      <c r="M12" s="4">
        <f>IFERROR(+L12*K12, 0)</f>
        <v/>
      </c>
    </row>
    <row r="13" ht="15.5" customHeight="1" s="40">
      <c r="A13" s="12" t="n"/>
      <c r="B13" s="4" t="n"/>
      <c r="C13" s="4" t="n"/>
      <c r="D13" s="4" t="n"/>
      <c r="E13" s="4" t="n"/>
      <c r="F13" s="4">
        <f>IFERROR(E13*D13, 0)</f>
        <v/>
      </c>
      <c r="H13" s="4" t="n"/>
      <c r="I13" s="4" t="n"/>
      <c r="J13" s="4" t="n"/>
      <c r="K13" s="4" t="n"/>
      <c r="L13" s="4" t="n"/>
      <c r="M13" s="4">
        <f>IFERROR(+L13*K13, 0)</f>
        <v/>
      </c>
    </row>
    <row r="14" ht="15.5" customHeight="1" s="40">
      <c r="A14" s="12" t="n"/>
      <c r="B14" s="4" t="n"/>
      <c r="C14" s="4" t="n"/>
      <c r="D14" s="4" t="n"/>
      <c r="E14" s="4" t="n"/>
      <c r="F14" s="4">
        <f>IFERROR(E14*D14, 0)</f>
        <v/>
      </c>
      <c r="H14" s="4" t="n"/>
      <c r="I14" s="4" t="n"/>
      <c r="J14" s="4" t="n"/>
      <c r="K14" s="4" t="n"/>
      <c r="L14" s="4" t="n"/>
      <c r="M14" s="4">
        <f>IFERROR(+L14*K14, 0)</f>
        <v/>
      </c>
    </row>
    <row r="15" ht="15.5" customHeight="1" s="40">
      <c r="A15" s="12" t="n"/>
      <c r="B15" s="4" t="n"/>
      <c r="C15" s="4" t="n"/>
      <c r="D15" s="4" t="n"/>
      <c r="E15" s="4" t="n"/>
      <c r="F15" s="4">
        <f>IFERROR(E15*D15, 0)</f>
        <v/>
      </c>
      <c r="H15" s="4" t="n"/>
      <c r="I15" s="4" t="n"/>
      <c r="J15" s="4" t="n"/>
      <c r="K15" s="4" t="n"/>
      <c r="L15" s="4" t="n"/>
      <c r="M15" s="4">
        <f>IFERROR(+L15*K15, 0)</f>
        <v/>
      </c>
    </row>
    <row r="16" ht="15.5" customHeight="1" s="40">
      <c r="A16" s="12" t="n"/>
      <c r="B16" s="4" t="n"/>
      <c r="C16" s="4" t="n"/>
      <c r="D16" s="4" t="n"/>
      <c r="E16" s="4" t="n"/>
      <c r="F16" s="4">
        <f>IFERROR(E16*D16, 0)</f>
        <v/>
      </c>
      <c r="H16" s="4" t="n"/>
      <c r="I16" s="4" t="n"/>
      <c r="J16" s="4" t="n"/>
      <c r="K16" s="4" t="n"/>
      <c r="L16" s="4" t="n"/>
      <c r="M16" s="4">
        <f>IFERROR(+L16*K16, 0)</f>
        <v/>
      </c>
    </row>
    <row r="17" ht="15.5" customHeight="1" s="40">
      <c r="A17" s="12" t="n"/>
      <c r="B17" s="4" t="n"/>
      <c r="C17" s="4" t="n"/>
      <c r="D17" s="4" t="n"/>
      <c r="E17" s="4" t="n"/>
      <c r="F17" s="4">
        <f>IFERROR(E17*D17, 0)</f>
        <v/>
      </c>
      <c r="H17" s="4" t="n"/>
      <c r="I17" s="4" t="n"/>
      <c r="J17" s="4" t="n"/>
      <c r="K17" s="4" t="n"/>
      <c r="L17" s="4" t="n"/>
      <c r="M17" s="4">
        <f>IFERROR(+L17*K17, 0)</f>
        <v/>
      </c>
    </row>
    <row r="18" ht="15.5" customHeight="1" s="40">
      <c r="A18" s="12" t="n"/>
      <c r="B18" s="4" t="n"/>
      <c r="C18" s="4" t="n"/>
      <c r="D18" s="4" t="n"/>
      <c r="E18" s="4" t="n"/>
      <c r="F18" s="4">
        <f>IFERROR(E18*D18, 0)</f>
        <v/>
      </c>
      <c r="H18" s="4" t="n"/>
      <c r="I18" s="4" t="n"/>
      <c r="J18" s="4" t="n"/>
      <c r="K18" s="4" t="n"/>
      <c r="L18" s="4" t="n"/>
      <c r="M18" s="4">
        <f>IFERROR(+L18*K18, 0)</f>
        <v/>
      </c>
    </row>
    <row r="19" ht="15.5" customHeight="1" s="40">
      <c r="A19" s="12" t="n"/>
      <c r="B19" s="4" t="n"/>
      <c r="C19" s="4" t="n"/>
      <c r="D19" s="4" t="n"/>
      <c r="E19" s="4" t="n"/>
      <c r="F19" s="4">
        <f>IFERROR(E19*D19, 0)</f>
        <v/>
      </c>
      <c r="H19" s="4" t="n"/>
      <c r="I19" s="4" t="n"/>
      <c r="J19" s="4" t="n"/>
      <c r="K19" s="4" t="n"/>
      <c r="L19" s="4" t="n"/>
      <c r="M19" s="4">
        <f>IFERROR(+L19*K19, 0)</f>
        <v/>
      </c>
    </row>
    <row r="20" ht="15.5" customHeight="1" s="40">
      <c r="B20" s="5" t="n"/>
      <c r="C20" s="5" t="n"/>
      <c r="D20" s="5" t="n"/>
      <c r="E20" s="6" t="n"/>
      <c r="F20" s="7">
        <f>+SUM(F3:F19)</f>
        <v/>
      </c>
      <c r="H20" s="5" t="n"/>
      <c r="I20" s="5" t="n"/>
      <c r="J20" s="5" t="n"/>
      <c r="K20" s="5" t="n"/>
      <c r="L20" s="10" t="inlineStr">
        <is>
          <t>Total</t>
        </is>
      </c>
      <c r="M20" s="7">
        <f>+SUM(M3:M19)</f>
        <v/>
      </c>
    </row>
  </sheetData>
  <mergeCells count="3">
    <mergeCell ref="H1:M1"/>
    <mergeCell ref="A1:F1"/>
    <mergeCell ref="G2:G10"/>
  </mergeCells>
  <dataValidations count="1">
    <dataValidation sqref="C3:C19 I3:I19" showDropDown="0" showInputMessage="1" showErrorMessage="1" allowBlank="1" type="list">
      <formula1>$U$3:$U$6</formula1>
    </dataValidation>
  </dataValidations>
  <hyperlinks>
    <hyperlink xmlns:r="http://schemas.openxmlformats.org/officeDocument/2006/relationships" ref="G2" location="INICIO!A1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"/>
  <sheetViews>
    <sheetView tabSelected="1" workbookViewId="0">
      <selection activeCell="A1" sqref="A1:F1"/>
    </sheetView>
  </sheetViews>
  <sheetFormatPr baseColWidth="10" defaultRowHeight="14.5"/>
  <cols>
    <col width="13.81640625" customWidth="1" style="40" min="3" max="3"/>
    <col width="14.1796875" customWidth="1" style="40" min="12" max="12"/>
  </cols>
  <sheetData>
    <row r="1" ht="15.5" customHeight="1" s="40">
      <c r="A1" s="56" t="inlineStr">
        <is>
          <t>MANO DE OBRA</t>
        </is>
      </c>
      <c r="H1" s="55" t="inlineStr">
        <is>
          <t>INSUMOS</t>
        </is>
      </c>
      <c r="I1" s="62" t="n"/>
      <c r="J1" s="62" t="n"/>
      <c r="K1" s="62" t="n"/>
      <c r="L1" s="62" t="n"/>
    </row>
    <row r="2" ht="46.5" customHeight="1" s="40">
      <c r="A2" s="1" t="inlineStr">
        <is>
          <t>ID LOTES</t>
        </is>
      </c>
      <c r="B2" s="1" t="inlineStr">
        <is>
          <t>Fecha</t>
        </is>
      </c>
      <c r="C2" s="8" t="inlineStr">
        <is>
          <t>Labor realizada</t>
        </is>
      </c>
      <c r="D2" s="3" t="inlineStr">
        <is>
          <t>Número de jornales</t>
        </is>
      </c>
      <c r="E2" s="8" t="inlineStr">
        <is>
          <t>Valor unitario</t>
        </is>
      </c>
      <c r="F2" s="1" t="inlineStr">
        <is>
          <t>Valor total</t>
        </is>
      </c>
      <c r="G2" s="60" t="inlineStr">
        <is>
          <t>INICIO</t>
        </is>
      </c>
      <c r="H2" s="1" t="inlineStr">
        <is>
          <t>Fecha</t>
        </is>
      </c>
      <c r="I2" s="8" t="inlineStr">
        <is>
          <t>Producto</t>
        </is>
      </c>
      <c r="J2" s="9" t="inlineStr">
        <is>
          <t>Cantidad</t>
        </is>
      </c>
      <c r="K2" s="8" t="inlineStr">
        <is>
          <t>Valor unitario</t>
        </is>
      </c>
      <c r="L2" s="1" t="inlineStr">
        <is>
          <t>Valor Total</t>
        </is>
      </c>
    </row>
    <row r="3" ht="15.5" customHeight="1" s="40">
      <c r="A3" s="12" t="n"/>
      <c r="B3" s="4" t="n"/>
      <c r="C3" s="4" t="n"/>
      <c r="D3" s="4" t="n"/>
      <c r="E3" s="4" t="n"/>
      <c r="F3" s="4">
        <f>+E3*D3</f>
        <v/>
      </c>
      <c r="G3" s="65" t="n"/>
      <c r="H3" s="4" t="n"/>
      <c r="I3" s="4" t="n"/>
      <c r="J3" s="4" t="n"/>
      <c r="K3" s="4" t="n"/>
      <c r="L3" s="4">
        <f>IFERROR(+K3*J3, 0)</f>
        <v/>
      </c>
    </row>
    <row r="4" ht="15.5" customHeight="1" s="40">
      <c r="A4" s="12" t="n"/>
      <c r="B4" s="4" t="n"/>
      <c r="C4" s="4" t="n"/>
      <c r="D4" s="4" t="n"/>
      <c r="E4" s="4" t="n"/>
      <c r="F4" s="4">
        <f>+E4*D4</f>
        <v/>
      </c>
      <c r="G4" s="65" t="n"/>
      <c r="H4" s="4" t="n"/>
      <c r="I4" s="4" t="n"/>
      <c r="J4" s="4" t="n"/>
      <c r="K4" s="4" t="n"/>
      <c r="L4" s="4">
        <f>IFERROR(+K4*J4, 0)</f>
        <v/>
      </c>
    </row>
    <row r="5" ht="15.5" customHeight="1" s="40">
      <c r="A5" s="12" t="n"/>
      <c r="B5" s="4" t="n"/>
      <c r="C5" s="4" t="n"/>
      <c r="D5" s="4" t="n"/>
      <c r="E5" s="4" t="n"/>
      <c r="F5" s="4">
        <f>+E5*D5</f>
        <v/>
      </c>
      <c r="G5" s="65" t="n"/>
      <c r="H5" s="4" t="n"/>
      <c r="I5" s="4" t="n"/>
      <c r="J5" s="4" t="n"/>
      <c r="K5" s="4" t="n"/>
      <c r="L5" s="4">
        <f>IFERROR(+K5*J5, 0)</f>
        <v/>
      </c>
    </row>
    <row r="6" ht="15.5" customHeight="1" s="40">
      <c r="A6" s="12" t="n"/>
      <c r="B6" s="4" t="n"/>
      <c r="C6" s="4" t="n"/>
      <c r="D6" s="4" t="n"/>
      <c r="E6" s="4" t="n"/>
      <c r="F6" s="4">
        <f>+E6*D6</f>
        <v/>
      </c>
      <c r="G6" s="65" t="n"/>
      <c r="H6" s="4" t="n"/>
      <c r="I6" s="4" t="n"/>
      <c r="J6" s="4" t="n"/>
      <c r="K6" s="4" t="n"/>
      <c r="L6" s="4">
        <f>IFERROR(+K6*J6, 0)</f>
        <v/>
      </c>
    </row>
    <row r="7" ht="15.5" customHeight="1" s="40">
      <c r="A7" s="12" t="n"/>
      <c r="B7" s="4" t="n"/>
      <c r="C7" s="4" t="n"/>
      <c r="D7" s="4" t="n"/>
      <c r="E7" s="4" t="n"/>
      <c r="F7" s="4">
        <f>+E7*D7</f>
        <v/>
      </c>
      <c r="G7" s="65" t="n"/>
      <c r="H7" s="4" t="n"/>
      <c r="I7" s="4" t="n"/>
      <c r="J7" s="4" t="n"/>
      <c r="K7" s="4" t="n"/>
      <c r="L7" s="4">
        <f>IFERROR(+K7*J7, 0)</f>
        <v/>
      </c>
    </row>
    <row r="8" ht="15.5" customHeight="1" s="40">
      <c r="A8" s="12" t="n"/>
      <c r="B8" s="4" t="n"/>
      <c r="C8" s="4" t="n"/>
      <c r="D8" s="4" t="n"/>
      <c r="E8" s="4" t="n"/>
      <c r="F8" s="4">
        <f>+E8*D8</f>
        <v/>
      </c>
      <c r="G8" s="65" t="n"/>
      <c r="H8" s="4" t="n"/>
      <c r="I8" s="4" t="n"/>
      <c r="J8" s="4" t="n"/>
      <c r="K8" s="4" t="n"/>
      <c r="L8" s="4">
        <f>IFERROR(+K8*J8, 0)</f>
        <v/>
      </c>
    </row>
    <row r="9" ht="15.5" customHeight="1" s="40">
      <c r="A9" s="12" t="n"/>
      <c r="B9" s="4" t="n"/>
      <c r="C9" s="4" t="n"/>
      <c r="D9" s="4" t="n"/>
      <c r="E9" s="4" t="n"/>
      <c r="F9" s="4">
        <f>+E9*D9</f>
        <v/>
      </c>
      <c r="G9" s="65" t="n"/>
      <c r="H9" s="4" t="n"/>
      <c r="I9" s="4" t="n"/>
      <c r="J9" s="4" t="n"/>
      <c r="K9" s="4" t="n"/>
      <c r="L9" s="4">
        <f>IFERROR(+K9*J9, 0)</f>
        <v/>
      </c>
    </row>
    <row r="10" ht="15.5" customHeight="1" s="40">
      <c r="A10" s="12" t="n"/>
      <c r="B10" s="4" t="n"/>
      <c r="C10" s="4" t="n"/>
      <c r="D10" s="4" t="n"/>
      <c r="E10" s="4" t="n"/>
      <c r="F10" s="4">
        <f>+E10*D10</f>
        <v/>
      </c>
      <c r="G10" s="65" t="n"/>
      <c r="H10" s="4" t="n"/>
      <c r="I10" s="4" t="n"/>
      <c r="J10" s="4" t="n"/>
      <c r="K10" s="4" t="n"/>
      <c r="L10" s="4">
        <f>IFERROR(+K10*J10, 0)</f>
        <v/>
      </c>
    </row>
    <row r="11" ht="15.5" customHeight="1" s="40">
      <c r="A11" s="12" t="n"/>
      <c r="B11" s="4" t="n"/>
      <c r="C11" s="4" t="n"/>
      <c r="D11" s="4" t="n"/>
      <c r="E11" s="4" t="n"/>
      <c r="F11" s="4">
        <f>+E11*D11</f>
        <v/>
      </c>
      <c r="H11" s="4" t="n"/>
      <c r="I11" s="4" t="n"/>
      <c r="J11" s="4" t="n"/>
      <c r="K11" s="4" t="n"/>
      <c r="L11" s="4">
        <f>IFERROR(+K11*J11, 0)</f>
        <v/>
      </c>
    </row>
    <row r="12" ht="15.5" customHeight="1" s="40">
      <c r="A12" s="12" t="n"/>
      <c r="B12" s="4" t="n"/>
      <c r="C12" s="4" t="n"/>
      <c r="D12" s="4" t="n"/>
      <c r="E12" s="4" t="n"/>
      <c r="F12" s="4">
        <f>+E12*D12</f>
        <v/>
      </c>
      <c r="H12" s="4" t="n"/>
      <c r="I12" s="4" t="n"/>
      <c r="J12" s="4" t="n"/>
      <c r="K12" s="4" t="n"/>
      <c r="L12" s="4">
        <f>IFERROR(+K12*J12, 0)</f>
        <v/>
      </c>
    </row>
    <row r="13" ht="15.5" customHeight="1" s="40">
      <c r="A13" s="12" t="n"/>
      <c r="B13" s="4" t="n"/>
      <c r="C13" s="4" t="n"/>
      <c r="D13" s="4" t="n"/>
      <c r="E13" s="4" t="n"/>
      <c r="F13" s="4">
        <f>+E13*D13</f>
        <v/>
      </c>
      <c r="H13" s="4" t="n"/>
      <c r="I13" s="4" t="n"/>
      <c r="J13" s="4" t="n"/>
      <c r="K13" s="4" t="n"/>
      <c r="L13" s="4">
        <f>IFERROR(+K13*J13, 0)</f>
        <v/>
      </c>
    </row>
    <row r="14" ht="15.5" customHeight="1" s="40">
      <c r="A14" s="12" t="n"/>
      <c r="B14" s="4" t="n"/>
      <c r="C14" s="4" t="n"/>
      <c r="D14" s="4" t="n"/>
      <c r="E14" s="4" t="n"/>
      <c r="F14" s="4">
        <f>+E14*D14</f>
        <v/>
      </c>
      <c r="H14" s="4" t="n"/>
      <c r="I14" s="4" t="n"/>
      <c r="J14" s="4" t="n"/>
      <c r="K14" s="4" t="n"/>
      <c r="L14" s="4">
        <f>IFERROR(+K14*J14, 0)</f>
        <v/>
      </c>
    </row>
    <row r="15" ht="15.5" customHeight="1" s="40">
      <c r="A15" s="12" t="n"/>
      <c r="B15" s="4" t="n"/>
      <c r="C15" s="4" t="n"/>
      <c r="D15" s="4" t="n"/>
      <c r="E15" s="4" t="n"/>
      <c r="F15" s="4">
        <f>+E15*D15</f>
        <v/>
      </c>
      <c r="H15" s="4" t="n"/>
      <c r="I15" s="4" t="n"/>
      <c r="J15" s="4" t="n"/>
      <c r="K15" s="4" t="n"/>
      <c r="L15" s="4">
        <f>IFERROR(+K15*J15, 0)</f>
        <v/>
      </c>
    </row>
    <row r="16" ht="15.5" customHeight="1" s="40">
      <c r="A16" s="12" t="n"/>
      <c r="B16" s="4" t="n"/>
      <c r="C16" s="4" t="n"/>
      <c r="D16" s="4" t="n"/>
      <c r="E16" s="4" t="n"/>
      <c r="F16" s="4">
        <f>+E16*D16</f>
        <v/>
      </c>
      <c r="H16" s="4" t="n"/>
      <c r="I16" s="4" t="n"/>
      <c r="J16" s="4" t="n"/>
      <c r="K16" s="4" t="n"/>
      <c r="L16" s="4">
        <f>IFERROR(+K16*J16, 0)</f>
        <v/>
      </c>
    </row>
    <row r="17" ht="15.5" customHeight="1" s="40">
      <c r="A17" s="12" t="n"/>
      <c r="B17" s="4" t="n"/>
      <c r="C17" s="4" t="n"/>
      <c r="D17" s="4" t="n"/>
      <c r="E17" s="4" t="n"/>
      <c r="F17" s="4">
        <f>+E17*D17</f>
        <v/>
      </c>
      <c r="H17" s="4" t="n"/>
      <c r="I17" s="4" t="n"/>
      <c r="J17" s="4" t="n"/>
      <c r="K17" s="4" t="n"/>
      <c r="L17" s="4">
        <f>IFERROR(+K17*J17, 0)</f>
        <v/>
      </c>
    </row>
    <row r="18" ht="15.5" customHeight="1" s="40">
      <c r="A18" s="12" t="n"/>
      <c r="B18" s="4" t="n"/>
      <c r="C18" s="4" t="n"/>
      <c r="D18" s="4" t="n"/>
      <c r="E18" s="4" t="n"/>
      <c r="F18" s="4">
        <f>+E18*D18</f>
        <v/>
      </c>
      <c r="H18" s="4" t="n"/>
      <c r="I18" s="4" t="n"/>
      <c r="J18" s="4" t="n"/>
      <c r="K18" s="4" t="n"/>
      <c r="L18" s="4">
        <f>IFERROR(+K18*J18, 0)</f>
        <v/>
      </c>
    </row>
    <row r="19" ht="15.5" customHeight="1" s="40">
      <c r="A19" s="12" t="n"/>
      <c r="B19" s="4" t="n"/>
      <c r="C19" s="4" t="n"/>
      <c r="D19" s="4" t="n"/>
      <c r="E19" s="4" t="n"/>
      <c r="F19" s="4">
        <f>+E19*D19</f>
        <v/>
      </c>
      <c r="H19" s="4" t="n"/>
      <c r="I19" s="4" t="n"/>
      <c r="J19" s="4" t="n"/>
      <c r="K19" s="4" t="n"/>
      <c r="L19" s="4">
        <f>IFERROR(+K19*J19, 0)</f>
        <v/>
      </c>
    </row>
    <row r="20" ht="15.5" customHeight="1" s="40">
      <c r="B20" s="5" t="n"/>
      <c r="C20" s="5" t="n"/>
      <c r="D20" s="5" t="n"/>
      <c r="E20" s="6" t="inlineStr">
        <is>
          <t>Total</t>
        </is>
      </c>
      <c r="F20" s="7">
        <f>+SUM(F3:F19)</f>
        <v/>
      </c>
      <c r="H20" s="5" t="n"/>
      <c r="I20" s="5" t="n"/>
      <c r="J20" s="5" t="n"/>
      <c r="K20" s="10" t="inlineStr">
        <is>
          <t>Total</t>
        </is>
      </c>
      <c r="L20" s="7">
        <f>+SUM(L3:L19)</f>
        <v/>
      </c>
    </row>
  </sheetData>
  <mergeCells count="3">
    <mergeCell ref="H1:L1"/>
    <mergeCell ref="A1:F1"/>
    <mergeCell ref="G2:G10"/>
  </mergeCells>
  <hyperlinks>
    <hyperlink xmlns:r="http://schemas.openxmlformats.org/officeDocument/2006/relationships" ref="G2" location="INICIO!A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K3" sqref="K3"/>
    </sheetView>
  </sheetViews>
  <sheetFormatPr baseColWidth="10" defaultRowHeight="14.5"/>
  <cols>
    <col width="15.7265625" customWidth="1" style="40" min="2" max="2"/>
    <col width="16.1796875" customWidth="1" style="40" min="3" max="3"/>
    <col width="13.1796875" customWidth="1" style="40" min="6" max="6"/>
    <col width="12.7265625" bestFit="1" customWidth="1" style="40" min="8" max="8"/>
    <col width="13.7265625" customWidth="1" style="40" min="12" max="12"/>
  </cols>
  <sheetData>
    <row r="1" ht="15.5" customHeight="1" s="40">
      <c r="A1" s="56" t="inlineStr">
        <is>
          <t>MANO DE OBRA</t>
        </is>
      </c>
      <c r="H1" s="55" t="inlineStr">
        <is>
          <t>INSUMOS</t>
        </is>
      </c>
      <c r="I1" s="62" t="n"/>
      <c r="J1" s="62" t="n"/>
      <c r="K1" s="62" t="n"/>
      <c r="L1" s="62" t="n"/>
    </row>
    <row r="2" ht="46.5" customHeight="1" s="40">
      <c r="A2" s="1" t="inlineStr">
        <is>
          <t>ID LOTES</t>
        </is>
      </c>
      <c r="B2" s="1" t="inlineStr">
        <is>
          <t>Fecha</t>
        </is>
      </c>
      <c r="C2" s="8" t="inlineStr">
        <is>
          <t>Labor realizada</t>
        </is>
      </c>
      <c r="D2" s="3" t="inlineStr">
        <is>
          <t>Número de jornales</t>
        </is>
      </c>
      <c r="E2" s="8" t="inlineStr">
        <is>
          <t>Valor unitario</t>
        </is>
      </c>
      <c r="F2" s="1" t="inlineStr">
        <is>
          <t>Valor total</t>
        </is>
      </c>
      <c r="G2" s="59" t="inlineStr">
        <is>
          <t>INICIO</t>
        </is>
      </c>
      <c r="H2" s="1" t="inlineStr">
        <is>
          <t>Fecha</t>
        </is>
      </c>
      <c r="I2" s="8" t="inlineStr">
        <is>
          <t>Producto</t>
        </is>
      </c>
      <c r="J2" s="9" t="inlineStr">
        <is>
          <t>Cantidad</t>
        </is>
      </c>
      <c r="K2" s="8" t="inlineStr">
        <is>
          <t>Valor unitario</t>
        </is>
      </c>
      <c r="L2" s="1" t="inlineStr">
        <is>
          <t>Valor Total</t>
        </is>
      </c>
    </row>
    <row r="3" ht="15.5" customHeight="1" s="40">
      <c r="A3" s="12" t="n"/>
      <c r="B3" s="27" t="n"/>
      <c r="C3" s="4" t="n"/>
      <c r="D3" s="20" t="n"/>
      <c r="E3" s="21" t="n"/>
      <c r="F3" s="21">
        <f>+E3*D3</f>
        <v/>
      </c>
      <c r="G3" s="65" t="n"/>
      <c r="H3" s="26" t="n"/>
      <c r="I3" s="4" t="n"/>
      <c r="J3" s="4" t="n"/>
      <c r="K3" s="4" t="n"/>
      <c r="L3" s="4">
        <f>IFERROR(+K3*J3, 0)</f>
        <v/>
      </c>
    </row>
    <row r="4" ht="15.5" customHeight="1" s="40">
      <c r="A4" s="12" t="n"/>
      <c r="B4" s="4" t="n"/>
      <c r="C4" s="4" t="n"/>
      <c r="D4" s="4" t="n"/>
      <c r="E4" s="21" t="n"/>
      <c r="F4" s="21">
        <f>+E4*D4</f>
        <v/>
      </c>
      <c r="G4" s="65" t="n"/>
      <c r="H4" s="4" t="n"/>
      <c r="I4" s="4" t="n"/>
      <c r="J4" s="4" t="n"/>
      <c r="K4" s="4" t="n"/>
      <c r="L4" s="4">
        <f>IFERROR(+K4*J4, 0)</f>
        <v/>
      </c>
    </row>
    <row r="5" ht="15.5" customHeight="1" s="40">
      <c r="A5" s="12" t="n"/>
      <c r="B5" s="4" t="n"/>
      <c r="C5" s="4" t="n"/>
      <c r="D5" s="4" t="n"/>
      <c r="E5" s="21" t="n"/>
      <c r="F5" s="21">
        <f>+E5*D5</f>
        <v/>
      </c>
      <c r="G5" s="65" t="n"/>
      <c r="H5" s="4" t="n"/>
      <c r="I5" s="4" t="n"/>
      <c r="J5" s="4" t="n"/>
      <c r="K5" s="4" t="n"/>
      <c r="L5" s="4">
        <f>IFERROR(+K5*J5, 0)</f>
        <v/>
      </c>
    </row>
    <row r="6" ht="15.5" customHeight="1" s="40">
      <c r="A6" s="12" t="n"/>
      <c r="B6" s="4" t="n"/>
      <c r="C6" s="4" t="n"/>
      <c r="D6" s="4" t="n"/>
      <c r="E6" s="21" t="n"/>
      <c r="F6" s="21">
        <f>+E6*D6</f>
        <v/>
      </c>
      <c r="G6" s="65" t="n"/>
      <c r="H6" s="4" t="n"/>
      <c r="I6" s="4" t="n"/>
      <c r="J6" s="4" t="n"/>
      <c r="K6" s="4" t="n"/>
      <c r="L6" s="4">
        <f>IFERROR(+K6*J6, 0)</f>
        <v/>
      </c>
    </row>
    <row r="7" ht="15.5" customHeight="1" s="40">
      <c r="A7" s="12" t="n"/>
      <c r="B7" s="4" t="n"/>
      <c r="C7" s="4" t="n"/>
      <c r="D7" s="4" t="n"/>
      <c r="E7" s="21" t="n"/>
      <c r="F7" s="21">
        <f>+E7*D7</f>
        <v/>
      </c>
      <c r="G7" s="65" t="n"/>
      <c r="H7" s="4" t="n"/>
      <c r="I7" s="4" t="n"/>
      <c r="J7" s="4" t="n"/>
      <c r="K7" s="4" t="n"/>
      <c r="L7" s="4">
        <f>IFERROR(+K7*J7, 0)</f>
        <v/>
      </c>
    </row>
    <row r="8" ht="15.5" customHeight="1" s="40">
      <c r="A8" s="12" t="n"/>
      <c r="B8" s="4" t="n"/>
      <c r="C8" s="4" t="n"/>
      <c r="D8" s="4" t="n"/>
      <c r="E8" s="21" t="n"/>
      <c r="F8" s="21">
        <f>+E8*D8</f>
        <v/>
      </c>
      <c r="G8" s="65" t="n"/>
      <c r="H8" s="4" t="n"/>
      <c r="I8" s="4" t="n"/>
      <c r="J8" s="4" t="n"/>
      <c r="K8" s="4" t="n"/>
      <c r="L8" s="4">
        <f>IFERROR(+K8*J8, 0)</f>
        <v/>
      </c>
    </row>
    <row r="9" ht="15.5" customHeight="1" s="40">
      <c r="A9" s="12" t="n"/>
      <c r="B9" s="4" t="n"/>
      <c r="C9" s="4" t="n"/>
      <c r="D9" s="4" t="n"/>
      <c r="E9" s="21" t="n"/>
      <c r="F9" s="21">
        <f>+E9*D9</f>
        <v/>
      </c>
      <c r="G9" s="65" t="n"/>
      <c r="H9" s="4" t="n"/>
      <c r="I9" s="4" t="n"/>
      <c r="J9" s="4" t="n"/>
      <c r="K9" s="4" t="n"/>
      <c r="L9" s="4">
        <f>IFERROR(+K9*J9, 0)</f>
        <v/>
      </c>
    </row>
    <row r="10" ht="15.5" customHeight="1" s="40">
      <c r="A10" s="12" t="n"/>
      <c r="B10" s="4" t="n"/>
      <c r="C10" s="4" t="n"/>
      <c r="D10" s="4" t="n"/>
      <c r="E10" s="21" t="n"/>
      <c r="F10" s="21">
        <f>+E10*D10</f>
        <v/>
      </c>
      <c r="H10" s="4" t="n"/>
      <c r="I10" s="4" t="n"/>
      <c r="J10" s="4" t="n"/>
      <c r="K10" s="4" t="n"/>
      <c r="L10" s="4">
        <f>IFERROR(+K10*J10, 0)</f>
        <v/>
      </c>
    </row>
    <row r="11" ht="15.5" customHeight="1" s="40">
      <c r="A11" s="12" t="n"/>
      <c r="B11" s="4" t="n"/>
      <c r="C11" s="4" t="n"/>
      <c r="D11" s="4" t="n"/>
      <c r="E11" s="21" t="n"/>
      <c r="F11" s="21">
        <f>+E11*D11</f>
        <v/>
      </c>
      <c r="H11" s="4" t="n"/>
      <c r="I11" s="4" t="n"/>
      <c r="J11" s="4" t="n"/>
      <c r="K11" s="4" t="n"/>
      <c r="L11" s="4">
        <f>IFERROR(+K11*J11, 0)</f>
        <v/>
      </c>
    </row>
    <row r="12" ht="15.5" customHeight="1" s="40">
      <c r="A12" s="12" t="n"/>
      <c r="B12" s="4" t="n"/>
      <c r="C12" s="4" t="n"/>
      <c r="D12" s="4" t="n"/>
      <c r="E12" s="21" t="n"/>
      <c r="F12" s="21">
        <f>+E12*D12</f>
        <v/>
      </c>
      <c r="H12" s="4" t="n"/>
      <c r="I12" s="4" t="n"/>
      <c r="J12" s="4" t="n"/>
      <c r="K12" s="4" t="n"/>
      <c r="L12" s="4">
        <f>IFERROR(+K12*J12, 0)</f>
        <v/>
      </c>
    </row>
    <row r="13" ht="15.5" customHeight="1" s="40">
      <c r="A13" s="12" t="n"/>
      <c r="B13" s="4" t="n"/>
      <c r="C13" s="4" t="n"/>
      <c r="D13" s="4" t="n"/>
      <c r="E13" s="21" t="n"/>
      <c r="F13" s="21">
        <f>+E13*D13</f>
        <v/>
      </c>
      <c r="H13" s="4" t="n"/>
      <c r="I13" s="4" t="n"/>
      <c r="J13" s="4" t="n"/>
      <c r="K13" s="4" t="n"/>
      <c r="L13" s="4">
        <f>IFERROR(+K13*J13, 0)</f>
        <v/>
      </c>
    </row>
    <row r="14" ht="15.5" customHeight="1" s="40">
      <c r="A14" s="12" t="n"/>
      <c r="B14" s="4" t="n"/>
      <c r="C14" s="4" t="n"/>
      <c r="D14" s="4" t="n"/>
      <c r="E14" s="21" t="n"/>
      <c r="F14" s="21">
        <f>+E14*D14</f>
        <v/>
      </c>
      <c r="H14" s="4" t="n"/>
      <c r="I14" s="4" t="n"/>
      <c r="J14" s="4" t="n"/>
      <c r="K14" s="4" t="n"/>
      <c r="L14" s="4">
        <f>IFERROR(+K14*J14, 0)</f>
        <v/>
      </c>
    </row>
    <row r="15" ht="15.5" customHeight="1" s="40">
      <c r="A15" s="12" t="n"/>
      <c r="B15" s="4" t="n"/>
      <c r="C15" s="4" t="n"/>
      <c r="D15" s="4" t="n"/>
      <c r="E15" s="21" t="n"/>
      <c r="F15" s="21">
        <f>+E15*D15</f>
        <v/>
      </c>
      <c r="H15" s="4" t="n"/>
      <c r="I15" s="4" t="n"/>
      <c r="J15" s="4" t="n"/>
      <c r="K15" s="4" t="n"/>
      <c r="L15" s="4">
        <f>IFERROR(+K15*J15, 0)</f>
        <v/>
      </c>
    </row>
    <row r="16" ht="15.5" customHeight="1" s="40">
      <c r="A16" s="12" t="n"/>
      <c r="B16" s="4" t="n"/>
      <c r="C16" s="4" t="n"/>
      <c r="D16" s="4" t="n"/>
      <c r="E16" s="21" t="n"/>
      <c r="F16" s="21">
        <f>+E16*D16</f>
        <v/>
      </c>
      <c r="H16" s="4" t="n"/>
      <c r="I16" s="4" t="n"/>
      <c r="J16" s="4" t="n"/>
      <c r="K16" s="4" t="n"/>
      <c r="L16" s="4">
        <f>IFERROR(+K16*J16, 0)</f>
        <v/>
      </c>
    </row>
    <row r="17" ht="15.5" customHeight="1" s="40">
      <c r="A17" s="12" t="n"/>
      <c r="B17" s="4" t="n"/>
      <c r="C17" s="4" t="n"/>
      <c r="D17" s="4" t="n"/>
      <c r="E17" s="21" t="n"/>
      <c r="F17" s="21">
        <f>+E17*D17</f>
        <v/>
      </c>
      <c r="H17" s="4" t="n"/>
      <c r="I17" s="4" t="n"/>
      <c r="J17" s="4" t="n"/>
      <c r="K17" s="4" t="n"/>
      <c r="L17" s="4">
        <f>IFERROR(+K17*J17, 0)</f>
        <v/>
      </c>
    </row>
    <row r="18" ht="15.5" customHeight="1" s="40">
      <c r="A18" s="12" t="n"/>
      <c r="B18" s="4" t="n"/>
      <c r="C18" s="4" t="n"/>
      <c r="D18" s="4" t="n"/>
      <c r="E18" s="21" t="n"/>
      <c r="F18" s="21">
        <f>+E18*D18</f>
        <v/>
      </c>
      <c r="H18" s="4" t="n"/>
      <c r="I18" s="4" t="n"/>
      <c r="J18" s="4" t="n"/>
      <c r="K18" s="4" t="n"/>
      <c r="L18" s="4">
        <f>IFERROR(+K18*J18, 0)</f>
        <v/>
      </c>
    </row>
    <row r="19" ht="15.5" customHeight="1" s="40">
      <c r="A19" s="12" t="n"/>
      <c r="B19" s="4" t="n"/>
      <c r="C19" s="4" t="n"/>
      <c r="D19" s="4" t="n"/>
      <c r="E19" s="21" t="n"/>
      <c r="F19" s="21">
        <f>+E19*D19</f>
        <v/>
      </c>
      <c r="H19" s="4" t="n"/>
      <c r="I19" s="4" t="n"/>
      <c r="J19" s="4" t="n"/>
      <c r="K19" s="4" t="n"/>
      <c r="L19" s="4">
        <f>IFERROR(+K19*J19, 0)</f>
        <v/>
      </c>
    </row>
    <row r="20" ht="15.5" customHeight="1" s="40">
      <c r="B20" s="5" t="n"/>
      <c r="C20" s="5" t="n"/>
      <c r="D20" s="5" t="n"/>
      <c r="E20" s="22" t="inlineStr">
        <is>
          <t>Total</t>
        </is>
      </c>
      <c r="F20" s="23">
        <f>+SUM(F3:F19)</f>
        <v/>
      </c>
      <c r="H20" s="5" t="n"/>
      <c r="I20" s="5" t="n"/>
      <c r="J20" s="5" t="n"/>
      <c r="K20" s="10" t="inlineStr">
        <is>
          <t>Total</t>
        </is>
      </c>
      <c r="L20" s="7">
        <f>+SUM(L3:L19)</f>
        <v/>
      </c>
    </row>
  </sheetData>
  <mergeCells count="3">
    <mergeCell ref="H1:L1"/>
    <mergeCell ref="A1:F1"/>
    <mergeCell ref="G2:G9"/>
  </mergeCells>
  <hyperlinks>
    <hyperlink xmlns:r="http://schemas.openxmlformats.org/officeDocument/2006/relationships" ref="G2" location="INICIO!A1" r:id="rId1"/>
  </hyperlinks>
  <pageMargins left="0.7" right="0.7" top="0.75" bottom="0.75" header="0.3" footer="0.3"/>
  <pageSetup orientation="portrait" paperSize="9" verticalDpi="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C4" sqref="C4"/>
    </sheetView>
  </sheetViews>
  <sheetFormatPr baseColWidth="10" defaultRowHeight="14.5"/>
  <cols>
    <col width="15.81640625" customWidth="1" style="40" min="1" max="1"/>
    <col width="14.26953125" customWidth="1" style="40" min="2" max="2"/>
    <col width="14" customWidth="1" style="40" min="4" max="4"/>
    <col width="14.453125" customWidth="1" style="40" min="5" max="5"/>
    <col hidden="1" width="13" customWidth="1" style="40" min="14" max="14"/>
  </cols>
  <sheetData>
    <row r="1" ht="18.5" customHeight="1" s="40">
      <c r="A1" s="55" t="inlineStr">
        <is>
          <t>MANO DE OBRA</t>
        </is>
      </c>
      <c r="B1" s="62" t="n"/>
      <c r="C1" s="62" t="n"/>
      <c r="D1" s="62" t="n"/>
      <c r="E1" s="62" t="n"/>
      <c r="F1" s="61" t="inlineStr">
        <is>
          <t>INICIO</t>
        </is>
      </c>
    </row>
    <row r="2" ht="31" customHeight="1" s="40">
      <c r="A2" s="1" t="inlineStr">
        <is>
          <t>Fecha</t>
        </is>
      </c>
      <c r="B2" s="8" t="inlineStr">
        <is>
          <t>Recolección cereza</t>
        </is>
      </c>
      <c r="C2" s="9" t="inlineStr">
        <is>
          <t>Kilos</t>
        </is>
      </c>
      <c r="D2" s="8" t="inlineStr">
        <is>
          <t>Valor Unitario</t>
        </is>
      </c>
      <c r="E2" s="1" t="inlineStr">
        <is>
          <t>Valor Total</t>
        </is>
      </c>
    </row>
    <row r="3" ht="15.5" customHeight="1" s="40">
      <c r="A3" s="4" t="n"/>
      <c r="B3" s="4" t="n"/>
      <c r="C3" s="4" t="n"/>
      <c r="D3" s="21">
        <f>IFERROR(E3/C3, 0)</f>
        <v/>
      </c>
      <c r="E3" s="21" t="n"/>
      <c r="N3" t="inlineStr">
        <is>
          <t>RE-RE</t>
        </is>
      </c>
    </row>
    <row r="4" ht="15.5" customHeight="1" s="40">
      <c r="A4" s="4" t="n"/>
      <c r="B4" s="4" t="n"/>
      <c r="C4" s="4" t="n"/>
      <c r="D4" s="21">
        <f>IFERROR(E4/C4, 0)</f>
        <v/>
      </c>
      <c r="E4" s="21" t="n"/>
      <c r="N4" t="inlineStr">
        <is>
          <t>JORNAL</t>
        </is>
      </c>
    </row>
    <row r="5" ht="15.5" customHeight="1" s="40">
      <c r="A5" s="4" t="n"/>
      <c r="B5" s="4" t="n"/>
      <c r="C5" s="4" t="n"/>
      <c r="D5" s="21">
        <f>IFERROR(E5/C5, 0)</f>
        <v/>
      </c>
      <c r="E5" s="21" t="n"/>
      <c r="N5" t="inlineStr">
        <is>
          <t>KILO</t>
        </is>
      </c>
    </row>
    <row r="6" ht="15.5" customHeight="1" s="40">
      <c r="A6" s="4" t="n"/>
      <c r="B6" s="4" t="n"/>
      <c r="C6" s="4" t="n"/>
      <c r="D6" s="21">
        <f>IFERROR(E6/C6, 0)</f>
        <v/>
      </c>
      <c r="E6" s="21" t="n"/>
    </row>
    <row r="7" ht="15.5" customHeight="1" s="40">
      <c r="A7" s="4" t="n"/>
      <c r="B7" s="4" t="n"/>
      <c r="C7" s="4" t="n"/>
      <c r="D7" s="21">
        <f>IFERROR(E7/C7, 0)</f>
        <v/>
      </c>
      <c r="E7" s="21" t="n"/>
    </row>
    <row r="8" ht="15.5" customHeight="1" s="40">
      <c r="A8" s="4" t="n"/>
      <c r="B8" s="4" t="n"/>
      <c r="C8" s="4" t="n"/>
      <c r="D8" s="21">
        <f>IFERROR(E8/C8, 0)</f>
        <v/>
      </c>
      <c r="E8" s="21" t="n"/>
    </row>
    <row r="9" ht="15.5" customHeight="1" s="40">
      <c r="A9" s="4" t="n"/>
      <c r="B9" s="4" t="n"/>
      <c r="C9" s="4" t="n"/>
      <c r="D9" s="21">
        <f>IFERROR(E9/C9, 0)</f>
        <v/>
      </c>
      <c r="E9" s="21" t="n"/>
    </row>
    <row r="10" ht="15.5" customHeight="1" s="40">
      <c r="A10" s="4" t="n"/>
      <c r="B10" s="4" t="n"/>
      <c r="C10" s="4" t="n"/>
      <c r="D10" s="21">
        <f>IFERROR(E10/C10, 0)</f>
        <v/>
      </c>
      <c r="E10" s="21" t="n"/>
    </row>
    <row r="11" ht="15.5" customHeight="1" s="40">
      <c r="A11" s="4" t="n"/>
      <c r="B11" s="4" t="n"/>
      <c r="C11" s="4" t="n"/>
      <c r="D11" s="21">
        <f>IFERROR(E11/C11, 0)</f>
        <v/>
      </c>
      <c r="E11" s="21" t="n"/>
    </row>
    <row r="12" ht="15.5" customHeight="1" s="40">
      <c r="A12" s="4" t="n"/>
      <c r="B12" s="4" t="n"/>
      <c r="C12" s="4" t="n"/>
      <c r="D12" s="21">
        <f>IFERROR(E12/C12, 0)</f>
        <v/>
      </c>
      <c r="E12" s="21" t="n"/>
    </row>
    <row r="13" ht="15.5" customHeight="1" s="40">
      <c r="A13" s="4" t="n"/>
      <c r="B13" s="4" t="n"/>
      <c r="C13" s="4" t="n"/>
      <c r="D13" s="21">
        <f>IFERROR(E13/C13, 0)</f>
        <v/>
      </c>
      <c r="E13" s="21" t="n"/>
    </row>
    <row r="14" ht="15.5" customHeight="1" s="40">
      <c r="A14" s="4" t="n"/>
      <c r="B14" s="4" t="n"/>
      <c r="C14" s="4" t="n"/>
      <c r="D14" s="21">
        <f>IFERROR(E14/C14, 0)</f>
        <v/>
      </c>
      <c r="E14" s="21" t="n"/>
    </row>
    <row r="15" ht="15.5" customHeight="1" s="40">
      <c r="A15" s="4" t="n"/>
      <c r="B15" s="4" t="n"/>
      <c r="C15" s="4" t="n"/>
      <c r="D15" s="21">
        <f>IFERROR(E15/C15, 0)</f>
        <v/>
      </c>
      <c r="E15" s="21" t="n"/>
    </row>
    <row r="16" ht="15.5" customHeight="1" s="40">
      <c r="A16" s="4" t="n"/>
      <c r="B16" s="4" t="n"/>
      <c r="C16" s="4" t="n"/>
      <c r="D16" s="21">
        <f>IFERROR(E16/C16, 0)</f>
        <v/>
      </c>
      <c r="E16" s="21" t="n"/>
    </row>
    <row r="17" ht="15.5" customHeight="1" s="40">
      <c r="A17" s="4" t="n"/>
      <c r="B17" s="4" t="n"/>
      <c r="C17" s="4" t="n"/>
      <c r="D17" s="21">
        <f>IFERROR(E17/C17, 0)</f>
        <v/>
      </c>
      <c r="E17" s="21" t="n"/>
    </row>
    <row r="18" ht="15.5" customHeight="1" s="40">
      <c r="A18" s="4" t="n"/>
      <c r="B18" s="4" t="n"/>
      <c r="C18" s="4" t="n"/>
      <c r="D18" s="21">
        <f>IFERROR(E18/C18, 0)</f>
        <v/>
      </c>
      <c r="E18" s="21" t="n"/>
    </row>
    <row r="19" ht="15.5" customHeight="1" s="40">
      <c r="A19" s="4" t="n"/>
      <c r="B19" s="4" t="n"/>
      <c r="C19" s="4" t="n"/>
      <c r="D19" s="21">
        <f>IFERROR(E19/C19, 0)</f>
        <v/>
      </c>
      <c r="E19" s="21" t="n"/>
    </row>
    <row r="20" ht="15.5" customHeight="1" s="40">
      <c r="A20" s="5" t="n"/>
      <c r="B20" s="15" t="inlineStr">
        <is>
          <t>Total</t>
        </is>
      </c>
      <c r="C20" s="16">
        <f>+SUM(C3:C19)</f>
        <v/>
      </c>
      <c r="D20" s="28" t="inlineStr">
        <is>
          <t>Total</t>
        </is>
      </c>
      <c r="E20" s="29">
        <f>+SUM(E3:E19)</f>
        <v/>
      </c>
    </row>
  </sheetData>
  <mergeCells count="2">
    <mergeCell ref="F1:H2"/>
    <mergeCell ref="A1:E1"/>
  </mergeCells>
  <dataValidations count="1">
    <dataValidation sqref="B3:B19" showDropDown="0" showInputMessage="1" showErrorMessage="1" allowBlank="1" type="list">
      <formula1>$N$3:$N$5</formula1>
    </dataValidation>
  </dataValidations>
  <hyperlinks>
    <hyperlink xmlns:r="http://schemas.openxmlformats.org/officeDocument/2006/relationships" ref="F1" location="INICIO!A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C3" sqref="C3"/>
    </sheetView>
  </sheetViews>
  <sheetFormatPr baseColWidth="10" defaultRowHeight="14.5"/>
  <sheetData>
    <row r="1" ht="15.5" customHeight="1" s="40">
      <c r="A1" s="55" t="inlineStr">
        <is>
          <t>MANO DE OBRA</t>
        </is>
      </c>
      <c r="B1" s="62" t="n"/>
      <c r="C1" s="62" t="n"/>
      <c r="D1" s="62" t="n"/>
      <c r="E1" s="62" t="n"/>
    </row>
    <row r="2" ht="46.5" customHeight="1" s="40">
      <c r="A2" s="1" t="inlineStr">
        <is>
          <t>Fecha</t>
        </is>
      </c>
      <c r="B2" s="8" t="inlineStr">
        <is>
          <t>Labor realizada</t>
        </is>
      </c>
      <c r="C2" s="3" t="inlineStr">
        <is>
          <t>Número de jornales</t>
        </is>
      </c>
      <c r="D2" s="8" t="inlineStr">
        <is>
          <t>Valor unitario</t>
        </is>
      </c>
      <c r="E2" s="1" t="inlineStr">
        <is>
          <t>Valor total</t>
        </is>
      </c>
      <c r="F2" s="60" t="inlineStr">
        <is>
          <t>INICIO</t>
        </is>
      </c>
    </row>
    <row r="3" ht="15.5" customHeight="1" s="40">
      <c r="A3" s="4" t="n"/>
      <c r="B3" s="4" t="n"/>
      <c r="C3" s="4" t="n"/>
      <c r="D3" s="4" t="n"/>
      <c r="E3" s="4">
        <f>IFERROR(D3*C3, 0)</f>
        <v/>
      </c>
      <c r="F3" s="65" t="n"/>
    </row>
    <row r="4" ht="15.5" customHeight="1" s="40">
      <c r="A4" s="4" t="n"/>
      <c r="B4" s="4" t="n"/>
      <c r="C4" s="4" t="n"/>
      <c r="D4" s="4" t="n"/>
      <c r="E4" s="4">
        <f>IFERROR(D4*C4, 0)</f>
        <v/>
      </c>
      <c r="F4" s="65" t="n"/>
    </row>
    <row r="5" ht="15.5" customHeight="1" s="40">
      <c r="A5" s="4" t="n"/>
      <c r="B5" s="4" t="n"/>
      <c r="C5" s="4" t="n"/>
      <c r="D5" s="4" t="n"/>
      <c r="E5" s="4">
        <f>IFERROR(D5*C5, 0)</f>
        <v/>
      </c>
      <c r="F5" s="65" t="n"/>
    </row>
    <row r="6" ht="15.5" customHeight="1" s="40">
      <c r="A6" s="4" t="n"/>
      <c r="B6" s="4" t="n"/>
      <c r="C6" s="4" t="n"/>
      <c r="D6" s="4" t="n"/>
      <c r="E6" s="4">
        <f>IFERROR(D6*C6, 0)</f>
        <v/>
      </c>
      <c r="F6" s="65" t="n"/>
    </row>
    <row r="7" ht="15.5" customHeight="1" s="40">
      <c r="A7" s="4" t="n"/>
      <c r="B7" s="4" t="n"/>
      <c r="C7" s="4" t="n"/>
      <c r="D7" s="4" t="n"/>
      <c r="E7" s="4">
        <f>IFERROR(D7*C7, 0)</f>
        <v/>
      </c>
      <c r="F7" s="65" t="n"/>
    </row>
    <row r="8" ht="15.5" customHeight="1" s="40">
      <c r="A8" s="4" t="n"/>
      <c r="B8" s="4" t="n"/>
      <c r="C8" s="4" t="n"/>
      <c r="D8" s="4" t="n"/>
      <c r="E8" s="4">
        <f>IFERROR(D8*C8, 0)</f>
        <v/>
      </c>
      <c r="F8" s="65" t="n"/>
    </row>
    <row r="9" ht="15.5" customHeight="1" s="40">
      <c r="A9" s="4" t="n"/>
      <c r="B9" s="4" t="n"/>
      <c r="C9" s="4" t="n"/>
      <c r="D9" s="4" t="n"/>
      <c r="E9" s="4">
        <f>IFERROR(D9*C9, 0)</f>
        <v/>
      </c>
      <c r="F9" s="65" t="n"/>
    </row>
    <row r="10" ht="15.5" customHeight="1" s="40">
      <c r="A10" s="4" t="n"/>
      <c r="B10" s="4" t="n"/>
      <c r="C10" s="4" t="n"/>
      <c r="D10" s="4" t="n"/>
      <c r="E10" s="4">
        <f>IFERROR(D10*C10, 0)</f>
        <v/>
      </c>
      <c r="F10" s="65" t="n"/>
    </row>
    <row r="11" ht="15.5" customHeight="1" s="40">
      <c r="A11" s="4" t="n"/>
      <c r="B11" s="4" t="n"/>
      <c r="C11" s="4" t="n"/>
      <c r="D11" s="4" t="n"/>
      <c r="E11" s="4">
        <f>IFERROR(D11*C11, 0)</f>
        <v/>
      </c>
    </row>
    <row r="12" ht="15.5" customHeight="1" s="40">
      <c r="A12" s="4" t="n"/>
      <c r="B12" s="4" t="n"/>
      <c r="C12" s="4" t="n"/>
      <c r="D12" s="4" t="n"/>
      <c r="E12" s="4">
        <f>IFERROR(D12*C12, 0)</f>
        <v/>
      </c>
    </row>
    <row r="13" ht="15.5" customHeight="1" s="40">
      <c r="A13" s="4" t="n"/>
      <c r="B13" s="4" t="n"/>
      <c r="C13" s="4" t="n"/>
      <c r="D13" s="4" t="n"/>
      <c r="E13" s="4">
        <f>IFERROR(D13*C13, 0)</f>
        <v/>
      </c>
    </row>
    <row r="14" ht="15.5" customHeight="1" s="40">
      <c r="A14" s="4" t="n"/>
      <c r="B14" s="4" t="n"/>
      <c r="C14" s="4" t="n"/>
      <c r="D14" s="4" t="n"/>
      <c r="E14" s="4">
        <f>IFERROR(D14*C14, 0)</f>
        <v/>
      </c>
    </row>
    <row r="15" ht="15.5" customHeight="1" s="40">
      <c r="A15" s="4" t="n"/>
      <c r="B15" s="4" t="n"/>
      <c r="C15" s="4" t="n"/>
      <c r="D15" s="4" t="n"/>
      <c r="E15" s="4">
        <f>IFERROR(D15*C15, 0)</f>
        <v/>
      </c>
    </row>
    <row r="16" ht="15.5" customHeight="1" s="40">
      <c r="A16" s="4" t="n"/>
      <c r="B16" s="4" t="n"/>
      <c r="C16" s="4" t="n"/>
      <c r="D16" s="4" t="n"/>
      <c r="E16" s="4">
        <f>IFERROR(D16*C16, 0)</f>
        <v/>
      </c>
    </row>
    <row r="17" ht="15.5" customHeight="1" s="40">
      <c r="A17" s="4" t="n"/>
      <c r="B17" s="4" t="n"/>
      <c r="C17" s="4" t="n"/>
      <c r="D17" s="4" t="n"/>
      <c r="E17" s="4">
        <f>IFERROR(D17*C17, 0)</f>
        <v/>
      </c>
    </row>
    <row r="18" ht="15.5" customHeight="1" s="40">
      <c r="A18" s="4" t="n"/>
      <c r="B18" s="4" t="n"/>
      <c r="C18" s="4" t="n"/>
      <c r="D18" s="4" t="n"/>
      <c r="E18" s="4">
        <f>IFERROR(D18*C18, 0)</f>
        <v/>
      </c>
    </row>
    <row r="19" ht="15.5" customHeight="1" s="40">
      <c r="A19" s="4" t="n"/>
      <c r="B19" s="4" t="n"/>
      <c r="C19" s="4" t="n"/>
      <c r="D19" s="4" t="n"/>
      <c r="E19" s="4">
        <f>IFERROR(D19*C19, 0)</f>
        <v/>
      </c>
    </row>
    <row r="20" ht="15.5" customHeight="1" s="40">
      <c r="A20" s="5" t="n"/>
      <c r="B20" s="5" t="n"/>
      <c r="C20" s="5" t="n"/>
      <c r="D20" s="6" t="inlineStr">
        <is>
          <t>Total</t>
        </is>
      </c>
      <c r="E20" s="7">
        <f>+SUM(E3:E19)</f>
        <v/>
      </c>
    </row>
  </sheetData>
  <mergeCells count="2">
    <mergeCell ref="F2:F10"/>
    <mergeCell ref="A1:E1"/>
  </mergeCells>
  <hyperlinks>
    <hyperlink xmlns:r="http://schemas.openxmlformats.org/officeDocument/2006/relationships" ref="F2" location="INICIO!A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B3" sqref="B3"/>
    </sheetView>
  </sheetViews>
  <sheetFormatPr baseColWidth="10" defaultRowHeight="14.5"/>
  <cols>
    <col width="15.81640625" customWidth="1" style="40" min="1" max="1"/>
    <col width="41.7265625" customWidth="1" style="40" min="2" max="2"/>
    <col width="19.7265625" customWidth="1" style="40" min="3" max="3"/>
    <col hidden="1" width="7.453125" customWidth="1" style="40" min="9" max="9"/>
  </cols>
  <sheetData>
    <row r="1" ht="15.5" customHeight="1" s="40">
      <c r="A1" s="55" t="inlineStr">
        <is>
          <t>Gasto</t>
        </is>
      </c>
      <c r="B1" s="62" t="n"/>
      <c r="C1" s="62" t="n"/>
      <c r="D1" s="53" t="inlineStr">
        <is>
          <t>INICIO</t>
        </is>
      </c>
    </row>
    <row r="2" ht="15.5" customHeight="1" s="40">
      <c r="A2" s="1" t="inlineStr">
        <is>
          <t>Fecha</t>
        </is>
      </c>
      <c r="B2" s="8" t="inlineStr">
        <is>
          <t>Gasto administrativo</t>
        </is>
      </c>
      <c r="C2" s="1" t="inlineStr">
        <is>
          <t>Valor total</t>
        </is>
      </c>
    </row>
    <row r="3" ht="15.5" customHeight="1" s="40">
      <c r="A3" s="24" t="n"/>
      <c r="B3" s="4" t="n"/>
      <c r="C3" s="25" t="n"/>
      <c r="I3" t="inlineStr">
        <is>
          <t>Servicios Públicos</t>
        </is>
      </c>
    </row>
    <row r="4" ht="15.5" customHeight="1" s="40">
      <c r="A4" s="24" t="n"/>
      <c r="B4" s="4" t="n"/>
      <c r="C4" s="25" t="n"/>
      <c r="I4" t="inlineStr">
        <is>
          <t>Impuesto predial</t>
        </is>
      </c>
    </row>
    <row r="5" ht="15.5" customHeight="1" s="40">
      <c r="A5" s="24" t="n"/>
      <c r="B5" s="4" t="n"/>
      <c r="C5" s="25" t="n"/>
      <c r="I5" t="inlineStr">
        <is>
          <t>Mantenimiento Infraestructura productiva</t>
        </is>
      </c>
    </row>
    <row r="6" ht="15.5" customHeight="1" s="40">
      <c r="A6" s="24" t="n"/>
      <c r="B6" s="4" t="n"/>
      <c r="C6" s="25" t="n"/>
      <c r="I6" t="inlineStr">
        <is>
          <t>Mantenimiento de construcciones</t>
        </is>
      </c>
    </row>
    <row r="7" ht="15.5" customHeight="1" s="40">
      <c r="A7" s="24" t="n"/>
      <c r="B7" s="4" t="n"/>
      <c r="C7" s="25" t="n"/>
      <c r="I7" t="inlineStr">
        <is>
          <t>Mantenimiento de vías internas</t>
        </is>
      </c>
    </row>
    <row r="8" ht="15.5" customHeight="1" s="40">
      <c r="A8" s="24" t="n"/>
      <c r="B8" s="4" t="n"/>
      <c r="C8" s="21" t="n"/>
      <c r="I8" t="inlineStr">
        <is>
          <t>Herramientas</t>
        </is>
      </c>
    </row>
    <row r="9" ht="15.5" customHeight="1" s="40">
      <c r="A9" s="24" t="n"/>
      <c r="B9" s="4" t="n"/>
      <c r="C9" s="21" t="n"/>
      <c r="I9" t="inlineStr">
        <is>
          <t>Transporte de café</t>
        </is>
      </c>
    </row>
    <row r="10" ht="15.5" customHeight="1" s="40">
      <c r="A10" s="24" t="n"/>
      <c r="B10" s="4" t="n"/>
      <c r="C10" s="21" t="n"/>
      <c r="I10" t="inlineStr">
        <is>
          <t>Gastos de mantenimiento de vehículos (usados para transporte de café y/o insumos)</t>
        </is>
      </c>
    </row>
    <row r="11" ht="15.5" customHeight="1" s="40">
      <c r="A11" s="24" t="n"/>
      <c r="B11" s="4" t="n"/>
      <c r="C11" s="21" t="n"/>
      <c r="I11" t="inlineStr">
        <is>
          <t>Depreciación de construcciones y equipos</t>
        </is>
      </c>
    </row>
    <row r="12" ht="15.5" customHeight="1" s="40">
      <c r="A12" s="24" t="n"/>
      <c r="B12" s="4" t="n"/>
      <c r="C12" s="21" t="n"/>
      <c r="I12" t="inlineStr">
        <is>
          <t>Mayordomo</t>
        </is>
      </c>
    </row>
    <row r="13" ht="15.5" customHeight="1" s="40">
      <c r="A13" s="27" t="n"/>
      <c r="B13" s="4" t="n"/>
      <c r="C13" s="21" t="n"/>
      <c r="I13" t="inlineStr">
        <is>
          <t>Administrador</t>
        </is>
      </c>
    </row>
    <row r="14" ht="15.5" customHeight="1" s="40">
      <c r="A14" s="27" t="n"/>
      <c r="B14" s="4" t="n"/>
      <c r="C14" s="21" t="n"/>
      <c r="I14" t="inlineStr">
        <is>
          <t>Patrón de corte</t>
        </is>
      </c>
    </row>
    <row r="15" ht="15.5" customHeight="1" s="40">
      <c r="A15" s="27" t="n"/>
      <c r="B15" s="4" t="n"/>
      <c r="C15" s="21" t="n"/>
      <c r="I15" t="inlineStr">
        <is>
          <t>Tiempo pagado sin trabajar</t>
        </is>
      </c>
    </row>
    <row r="16" ht="15.5" customHeight="1" s="40">
      <c r="A16" s="27" t="n"/>
      <c r="B16" s="4" t="n"/>
      <c r="C16" s="21" t="n"/>
      <c r="I16" t="inlineStr">
        <is>
          <t>Incapacidad</t>
        </is>
      </c>
    </row>
    <row r="17" ht="15.5" customHeight="1" s="40">
      <c r="A17" s="27" t="n"/>
      <c r="B17" s="4" t="n"/>
      <c r="C17" s="21" t="n"/>
      <c r="I17" t="inlineStr">
        <is>
          <t>Otros Gastos Relacionados con la finca</t>
        </is>
      </c>
    </row>
    <row r="18" ht="15.5" customHeight="1" s="40">
      <c r="A18" s="27" t="n"/>
      <c r="B18" s="4" t="n"/>
      <c r="C18" s="21" t="n"/>
      <c r="I18" t="inlineStr">
        <is>
          <t>Pago de intereses de créditos</t>
        </is>
      </c>
    </row>
    <row r="19" ht="15.5" customHeight="1" s="40">
      <c r="A19" s="27" t="n"/>
      <c r="B19" s="4" t="n"/>
      <c r="C19" s="21" t="n"/>
    </row>
    <row r="20" ht="15.5" customHeight="1" s="40">
      <c r="A20" s="5" t="n"/>
      <c r="B20" s="6" t="inlineStr">
        <is>
          <t>Total</t>
        </is>
      </c>
      <c r="C20" s="23">
        <f>+SUM(C3:C19)</f>
        <v/>
      </c>
    </row>
  </sheetData>
  <mergeCells count="2">
    <mergeCell ref="A1:C1"/>
    <mergeCell ref="D1:D9"/>
  </mergeCells>
  <dataValidations count="1">
    <dataValidation sqref="B3:B19" showDropDown="0" showInputMessage="1" showErrorMessage="1" allowBlank="1" type="list">
      <formula1>$I$3:$I$18</formula1>
    </dataValidation>
  </dataValidations>
  <hyperlinks>
    <hyperlink xmlns:r="http://schemas.openxmlformats.org/officeDocument/2006/relationships" ref="D1" location="INICIO!A1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1" sqref="B1"/>
    </sheetView>
  </sheetViews>
  <sheetFormatPr baseColWidth="10" defaultRowHeight="14.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5"/>
  <sheetData>
    <row r="1">
      <c r="A1" s="36" t="inlineStr">
        <is>
          <t>INICIO</t>
        </is>
      </c>
    </row>
  </sheetData>
  <hyperlinks>
    <hyperlink xmlns:r="http://schemas.openxmlformats.org/officeDocument/2006/relationships" ref="A1" location="INICIO!A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5"/>
  <sheetData>
    <row r="1">
      <c r="A1" s="36" t="inlineStr">
        <is>
          <t>INICIO</t>
        </is>
      </c>
    </row>
  </sheetData>
  <hyperlinks>
    <hyperlink xmlns:r="http://schemas.openxmlformats.org/officeDocument/2006/relationships" ref="A1" location="INICIO!A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4.5"/>
  <sheetData>
    <row r="1">
      <c r="A1" s="36" t="inlineStr">
        <is>
          <t>INICIO</t>
        </is>
      </c>
    </row>
  </sheetData>
  <hyperlinks>
    <hyperlink xmlns:r="http://schemas.openxmlformats.org/officeDocument/2006/relationships" ref="A1" location="INICIO!A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Franklinn Castillo</dc:creator>
  <dcterms:created xsi:type="dcterms:W3CDTF">2021-10-05T15:01:48Z</dcterms:created>
  <dcterms:modified xsi:type="dcterms:W3CDTF">2026-06-24T01:45:28Z</dcterms:modified>
  <cp:lastModifiedBy>Comité</cp:lastModifiedBy>
  <cp:lastPrinted>2021-10-05T15:17:48Z</cp:lastPrinted>
</cp:coreProperties>
</file>